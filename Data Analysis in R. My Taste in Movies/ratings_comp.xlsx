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ns15\OneDrive\Рабочий стол\data projects\my taste in movies (R)\"/>
    </mc:Choice>
  </mc:AlternateContent>
  <xr:revisionPtr revIDLastSave="0" documentId="13_ncr:1_{37165FAB-CD73-4357-8657-E7DE9B4F06F8}" xr6:coauthVersionLast="47" xr6:coauthVersionMax="47" xr10:uidLastSave="{00000000-0000-0000-0000-000000000000}"/>
  <bookViews>
    <workbookView xWindow="-108" yWindow="-108" windowWidth="23256" windowHeight="12456" activeTab="1" xr2:uid="{6AFC4066-D60D-44EF-BBDE-2F5BC8593742}"/>
  </bookViews>
  <sheets>
    <sheet name="imdb_ratings" sheetId="2" r:id="rId1"/>
    <sheet name="Аркуш1" sheetId="3" r:id="rId2"/>
  </sheets>
  <definedNames>
    <definedName name="ExternalData_1" localSheetId="0" hidden="1">imdb_ratings!$A:$N</definedName>
    <definedName name="ExternalData_1" localSheetId="1" hidden="1">Аркуш1!$A:$N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746" i="3" l="1"/>
  <c r="H611" i="3"/>
  <c r="H604" i="3"/>
  <c r="H402" i="3"/>
  <c r="H394" i="3"/>
  <c r="H361" i="3"/>
  <c r="A3" i="3"/>
  <c r="A2" i="3"/>
  <c r="A2" i="2"/>
  <c r="A3" i="2"/>
  <c r="H746" i="2"/>
  <c r="H604" i="2"/>
  <c r="H361" i="2"/>
  <c r="H394" i="2"/>
  <c r="H611" i="2"/>
  <c r="H402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4FE9751-366E-43CA-B57F-D06CCAA24940}" keepAlive="1" name="Запит – imdb_ratings" description="Підключення до запита &quot;imdb_ratings&quot; у книзі." type="5" refreshedVersion="8" background="1" saveData="1">
    <dbPr connection="Provider=Microsoft.Mashup.OleDb.1;Data Source=$Workbook$;Location=imdb_ratings;Extended Properties=&quot;&quot;" command="SELECT * FROM [imdb_ratings]"/>
  </connection>
  <connection id="2" xr16:uid="{9F349A38-CA61-4C93-A41C-C7C8F829D81A}" keepAlive="1" name="Запит – imdb_ratings (2)" description="Підключення до запита &quot;imdb_ratings (2)&quot; у книзі." type="5" refreshedVersion="8" background="1" saveData="1">
    <dbPr connection="Provider=Microsoft.Mashup.OleDb.1;Data Source=$Workbook$;Location=&quot;imdb_ratings (2)&quot;;Extended Properties=&quot;&quot;" command="SELECT * FROM [imdb_ratings (2)]"/>
  </connection>
  <connection id="3" xr16:uid="{671C3F96-C4E5-4F17-AEE5-8F60FD6065D1}" keepAlive="1" name="Запит – letterboxd_ratings" description="Підключення до запита &quot;letterboxd_ratings&quot; у книзі." type="5" refreshedVersion="0" background="1">
    <dbPr connection="Provider=Microsoft.Mashup.OleDb.1;Data Source=$Workbook$;Location=letterboxd_ratings;Extended Properties=&quot;&quot;" command="SELECT * FROM [letterboxd_ratings]"/>
  </connection>
</connections>
</file>

<file path=xl/sharedStrings.xml><?xml version="1.0" encoding="utf-8"?>
<sst xmlns="http://schemas.openxmlformats.org/spreadsheetml/2006/main" count="13994" uniqueCount="3227">
  <si>
    <t>Const</t>
  </si>
  <si>
    <t>Your Rating</t>
  </si>
  <si>
    <t>Date Rated</t>
  </si>
  <si>
    <t>URL</t>
  </si>
  <si>
    <t>Title Type</t>
  </si>
  <si>
    <t>IMDb Rating</t>
  </si>
  <si>
    <t>Runtime (mins)</t>
  </si>
  <si>
    <t>Year</t>
  </si>
  <si>
    <t>Genres</t>
  </si>
  <si>
    <t>Num Votes</t>
  </si>
  <si>
    <t>Release Date</t>
  </si>
  <si>
    <t>Directors</t>
  </si>
  <si>
    <t>tt0100142</t>
  </si>
  <si>
    <t>Metropolitan</t>
  </si>
  <si>
    <t>https://www.imdb.com/title/tt0100142/</t>
  </si>
  <si>
    <t>movie</t>
  </si>
  <si>
    <t>7.3</t>
  </si>
  <si>
    <t>Comedy, Drama, Romance</t>
  </si>
  <si>
    <t>Whit Stillman</t>
  </si>
  <si>
    <t>tt10048342</t>
  </si>
  <si>
    <t>The Queen's Gambit</t>
  </si>
  <si>
    <t>https://www.imdb.com/title/tt10048342/</t>
  </si>
  <si>
    <t>tvMiniSeries</t>
  </si>
  <si>
    <t>8.5</t>
  </si>
  <si>
    <t>Drama</t>
  </si>
  <si>
    <t/>
  </si>
  <si>
    <t>tt1010048</t>
  </si>
  <si>
    <t>Slumdog Millionaire</t>
  </si>
  <si>
    <t>https://www.imdb.com/title/tt1010048/</t>
  </si>
  <si>
    <t>8.0</t>
  </si>
  <si>
    <t>Crime, Drama, Romance</t>
  </si>
  <si>
    <t>Loveleen Tandan, Danny Boyle</t>
  </si>
  <si>
    <t>tt0101272</t>
  </si>
  <si>
    <t>The Addams Family</t>
  </si>
  <si>
    <t>https://www.imdb.com/title/tt0101272/</t>
  </si>
  <si>
    <t>6.9</t>
  </si>
  <si>
    <t>Comedy, Fantasy</t>
  </si>
  <si>
    <t>Barry Sonnenfeld</t>
  </si>
  <si>
    <t>tt0101318</t>
  </si>
  <si>
    <t>Les amants du Pont-Neuf</t>
  </si>
  <si>
    <t>https://www.imdb.com/title/tt0101318/</t>
  </si>
  <si>
    <t>7.6</t>
  </si>
  <si>
    <t>Drama, Romance</t>
  </si>
  <si>
    <t>Leos Carax</t>
  </si>
  <si>
    <t>tt10137242</t>
  </si>
  <si>
    <t>Above the Styx</t>
  </si>
  <si>
    <t>https://www.imdb.com/title/tt10137242/</t>
  </si>
  <si>
    <t>short</t>
  </si>
  <si>
    <t>Documentary, Short</t>
  </si>
  <si>
    <t>tt10140018</t>
  </si>
  <si>
    <t>Facade Colour: Blue</t>
  </si>
  <si>
    <t>https://www.imdb.com/title/tt10140018/</t>
  </si>
  <si>
    <t>Oleksiy Radynski</t>
  </si>
  <si>
    <t>tt0101428</t>
  </si>
  <si>
    <t>La Belle Noiseuse</t>
  </si>
  <si>
    <t>https://www.imdb.com/title/tt0101428/</t>
  </si>
  <si>
    <t>7.5</t>
  </si>
  <si>
    <t>Jacques Rivette</t>
  </si>
  <si>
    <t>tt1016150</t>
  </si>
  <si>
    <t>Im Westen nichts Neues</t>
  </si>
  <si>
    <t>https://www.imdb.com/title/tt1016150/</t>
  </si>
  <si>
    <t>7.8</t>
  </si>
  <si>
    <t>Action, Drama, War</t>
  </si>
  <si>
    <t>Edward Berger</t>
  </si>
  <si>
    <t>tt10168670</t>
  </si>
  <si>
    <t>Bones and All</t>
  </si>
  <si>
    <t>https://www.imdb.com/title/tt10168670/</t>
  </si>
  <si>
    <t>6.8</t>
  </si>
  <si>
    <t>Drama, Horror, Romance</t>
  </si>
  <si>
    <t>Luca Guadagnino</t>
  </si>
  <si>
    <t>tt1017451</t>
  </si>
  <si>
    <t>The Runaways</t>
  </si>
  <si>
    <t>https://www.imdb.com/title/tt1017451/</t>
  </si>
  <si>
    <t>6.5</t>
  </si>
  <si>
    <t>Biography, Drama, Music</t>
  </si>
  <si>
    <t>Floria Sigismondi</t>
  </si>
  <si>
    <t>tt0101761</t>
  </si>
  <si>
    <t>The Doors</t>
  </si>
  <si>
    <t>https://www.imdb.com/title/tt0101761/</t>
  </si>
  <si>
    <t>7.2</t>
  </si>
  <si>
    <t>Oliver Stone</t>
  </si>
  <si>
    <t>tt0101765</t>
  </si>
  <si>
    <t>La double vie de Véronique</t>
  </si>
  <si>
    <t>https://www.imdb.com/title/tt0101765/</t>
  </si>
  <si>
    <t>7.7</t>
  </si>
  <si>
    <t>Drama, Fantasy, Music, Mystery, Romance</t>
  </si>
  <si>
    <t>Krzysztof Kieslowski</t>
  </si>
  <si>
    <t>tt10199970</t>
  </si>
  <si>
    <t>Deep Love</t>
  </si>
  <si>
    <t>https://www.imdb.com/title/tt10199970/</t>
  </si>
  <si>
    <t>Animation, Short</t>
  </si>
  <si>
    <t>Mykyta Lyskov</t>
  </si>
  <si>
    <t>tt1020938</t>
  </si>
  <si>
    <t>Bébé(s)</t>
  </si>
  <si>
    <t>https://www.imdb.com/title/tt1020938/</t>
  </si>
  <si>
    <t>7.0</t>
  </si>
  <si>
    <t>Documentary</t>
  </si>
  <si>
    <t>Thomas Balmès</t>
  </si>
  <si>
    <t>tt1022603</t>
  </si>
  <si>
    <t>(500) Days of Summer</t>
  </si>
  <si>
    <t>https://www.imdb.com/title/tt1022603/</t>
  </si>
  <si>
    <t>Marc Webb</t>
  </si>
  <si>
    <t>tt10244550</t>
  </si>
  <si>
    <t>Iz zavyazanymy ochyma</t>
  </si>
  <si>
    <t>https://www.imdb.com/title/tt10244550/</t>
  </si>
  <si>
    <t>6.1</t>
  </si>
  <si>
    <t>Drama, Sport</t>
  </si>
  <si>
    <t>Taras Dron</t>
  </si>
  <si>
    <t>tt10268488</t>
  </si>
  <si>
    <t>The Greatest Beer Run Ever</t>
  </si>
  <si>
    <t>https://www.imdb.com/title/tt10268488/</t>
  </si>
  <si>
    <t>Adventure, Drama, War</t>
  </si>
  <si>
    <t>Peter Farrelly</t>
  </si>
  <si>
    <t>tt10272534</t>
  </si>
  <si>
    <t>Lvx Æterna</t>
  </si>
  <si>
    <t>https://www.imdb.com/title/tt10272534/</t>
  </si>
  <si>
    <t>6.3</t>
  </si>
  <si>
    <t>Drama, Thriller</t>
  </si>
  <si>
    <t>Gaspar Noé</t>
  </si>
  <si>
    <t>tt0102926</t>
  </si>
  <si>
    <t>The Silence of the Lambs</t>
  </si>
  <si>
    <t>https://www.imdb.com/title/tt0102926/</t>
  </si>
  <si>
    <t>8.6</t>
  </si>
  <si>
    <t>Crime, Drama, Thriller</t>
  </si>
  <si>
    <t>Jonathan Demme</t>
  </si>
  <si>
    <t>tt10293406</t>
  </si>
  <si>
    <t>The Power of the Dog</t>
  </si>
  <si>
    <t>https://www.imdb.com/title/tt10293406/</t>
  </si>
  <si>
    <t>Drama, Western</t>
  </si>
  <si>
    <t>Jane Campion</t>
  </si>
  <si>
    <t>tt10304142</t>
  </si>
  <si>
    <t>Amsterdam</t>
  </si>
  <si>
    <t>https://www.imdb.com/title/tt10304142/</t>
  </si>
  <si>
    <t>Comedy, Drama, History, Mystery, Thriller</t>
  </si>
  <si>
    <t>David O. Russell</t>
  </si>
  <si>
    <t>tt0103074</t>
  </si>
  <si>
    <t>Thelma &amp; Louise</t>
  </si>
  <si>
    <t>https://www.imdb.com/title/tt0103074/</t>
  </si>
  <si>
    <t>Adventure, Crime, Drama</t>
  </si>
  <si>
    <t>Ridley Scott</t>
  </si>
  <si>
    <t>tt1032846</t>
  </si>
  <si>
    <t>4 luni, 3 saptamâni si 2 zile</t>
  </si>
  <si>
    <t>https://www.imdb.com/title/tt1032846/</t>
  </si>
  <si>
    <t>7.9</t>
  </si>
  <si>
    <t>Cristian Mungiu</t>
  </si>
  <si>
    <t>tt10331000</t>
  </si>
  <si>
    <t>Petrivka - requiem</t>
  </si>
  <si>
    <t>https://www.imdb.com/title/tt10331000/</t>
  </si>
  <si>
    <t>7.4</t>
  </si>
  <si>
    <t>Kateryna Voznytsya</t>
  </si>
  <si>
    <t>tt10334222</t>
  </si>
  <si>
    <t>Svetlonoc</t>
  </si>
  <si>
    <t>https://www.imdb.com/title/tt10334222/</t>
  </si>
  <si>
    <t>Drama, Horror, Mystery</t>
  </si>
  <si>
    <t>Tereza Nvotová</t>
  </si>
  <si>
    <t>tt1034415</t>
  </si>
  <si>
    <t>Suspiria</t>
  </si>
  <si>
    <t>https://www.imdb.com/title/tt1034415/</t>
  </si>
  <si>
    <t>6.7</t>
  </si>
  <si>
    <t>Drama, Fantasy, Horror, Mystery, Thriller</t>
  </si>
  <si>
    <t>tt10365998</t>
  </si>
  <si>
    <t>Infinity Pool</t>
  </si>
  <si>
    <t>https://www.imdb.com/title/tt10365998/</t>
  </si>
  <si>
    <t>6.0</t>
  </si>
  <si>
    <t>Crime, Horror, Mystery, Sci-Fi, Thriller</t>
  </si>
  <si>
    <t>Brandon Cronenberg</t>
  </si>
  <si>
    <t>tt10366460</t>
  </si>
  <si>
    <t>CODA</t>
  </si>
  <si>
    <t>https://www.imdb.com/title/tt10366460/</t>
  </si>
  <si>
    <t>Comedy, Drama, Music</t>
  </si>
  <si>
    <t>Sian Heder</t>
  </si>
  <si>
    <t>tt10370710</t>
  </si>
  <si>
    <t>Verdens verste menneske</t>
  </si>
  <si>
    <t>https://www.imdb.com/title/tt10370710/</t>
  </si>
  <si>
    <t>Joachim Trier</t>
  </si>
  <si>
    <t>tt0103772</t>
  </si>
  <si>
    <t>Basic Instinct</t>
  </si>
  <si>
    <t>https://www.imdb.com/title/tt0103772/</t>
  </si>
  <si>
    <t>Drama, Mystery, Thriller</t>
  </si>
  <si>
    <t>Paul Verhoeven</t>
  </si>
  <si>
    <t>tt10457128</t>
  </si>
  <si>
    <t>Été 85</t>
  </si>
  <si>
    <t>https://www.imdb.com/title/tt10457128/</t>
  </si>
  <si>
    <t>François Ozon</t>
  </si>
  <si>
    <t>tt0105236</t>
  </si>
  <si>
    <t>Reservoir Dogs</t>
  </si>
  <si>
    <t>https://www.imdb.com/title/tt0105236/</t>
  </si>
  <si>
    <t>8.3</t>
  </si>
  <si>
    <t>Crime, Thriller</t>
  </si>
  <si>
    <t>Quentin Tarantino</t>
  </si>
  <si>
    <t>tt10576278</t>
  </si>
  <si>
    <t>Eastman</t>
  </si>
  <si>
    <t>https://www.imdb.com/title/tt10576278/</t>
  </si>
  <si>
    <t>Drama, War</t>
  </si>
  <si>
    <t>Andrii Ivaniuk</t>
  </si>
  <si>
    <t>tt10576558</t>
  </si>
  <si>
    <t>In Our Synagogue</t>
  </si>
  <si>
    <t>https://www.imdb.com/title/tt10576558/</t>
  </si>
  <si>
    <t>7.1</t>
  </si>
  <si>
    <t>Short</t>
  </si>
  <si>
    <t>Ivan Orlenko</t>
  </si>
  <si>
    <t>tt10618286</t>
  </si>
  <si>
    <t>Mank</t>
  </si>
  <si>
    <t>https://www.imdb.com/title/tt10618286/</t>
  </si>
  <si>
    <t>Biography, Comedy, Drama</t>
  </si>
  <si>
    <t>David Fincher</t>
  </si>
  <si>
    <t>tt0106220</t>
  </si>
  <si>
    <t>Addams Family Values</t>
  </si>
  <si>
    <t>https://www.imdb.com/title/tt0106220/</t>
  </si>
  <si>
    <t>tt10633456</t>
  </si>
  <si>
    <t>Minari</t>
  </si>
  <si>
    <t>https://www.imdb.com/title/tt10633456/</t>
  </si>
  <si>
    <t>Lee Isaac Chung</t>
  </si>
  <si>
    <t>tt10638036</t>
  </si>
  <si>
    <t>Heartstopper</t>
  </si>
  <si>
    <t>https://www.imdb.com/title/tt10638036/</t>
  </si>
  <si>
    <t>tvSeries</t>
  </si>
  <si>
    <t>tt10640346</t>
  </si>
  <si>
    <t>Babylon</t>
  </si>
  <si>
    <t>https://www.imdb.com/title/tt10640346/</t>
  </si>
  <si>
    <t>Comedy, Drama, History</t>
  </si>
  <si>
    <t>Damien Chazelle</t>
  </si>
  <si>
    <t>tt1068680</t>
  </si>
  <si>
    <t>Yes Man</t>
  </si>
  <si>
    <t>https://www.imdb.com/title/tt1068680/</t>
  </si>
  <si>
    <t>Comedy, Romance</t>
  </si>
  <si>
    <t>Peyton Reed</t>
  </si>
  <si>
    <t>tt10687506</t>
  </si>
  <si>
    <t>The Electrical Life of Louis Wain</t>
  </si>
  <si>
    <t>https://www.imdb.com/title/tt10687506/</t>
  </si>
  <si>
    <t>Biography, Drama, History</t>
  </si>
  <si>
    <t>Will Sharpe</t>
  </si>
  <si>
    <t>tt10702760</t>
  </si>
  <si>
    <t>National Theatre Live: Fleabag</t>
  </si>
  <si>
    <t>https://www.imdb.com/title/tt10702760/</t>
  </si>
  <si>
    <t>Comedy</t>
  </si>
  <si>
    <t>Vicky Jones, Tony Grech-Smith</t>
  </si>
  <si>
    <t>tt1070874</t>
  </si>
  <si>
    <t>The Trial of the Chicago 7</t>
  </si>
  <si>
    <t>https://www.imdb.com/title/tt1070874/</t>
  </si>
  <si>
    <t>Drama, History, Thriller</t>
  </si>
  <si>
    <t>Aaron Sorkin</t>
  </si>
  <si>
    <t>tt10731256</t>
  </si>
  <si>
    <t>Don't Worry Darling</t>
  </si>
  <si>
    <t>https://www.imdb.com/title/tt10731256/</t>
  </si>
  <si>
    <t>Olivia Wilde</t>
  </si>
  <si>
    <t>tt10735778</t>
  </si>
  <si>
    <t>Nashi Kotyky</t>
  </si>
  <si>
    <t>https://www.imdb.com/title/tt10735778/</t>
  </si>
  <si>
    <t>Volodymyr Tykhyy</t>
  </si>
  <si>
    <t>tt0107468</t>
  </si>
  <si>
    <t>M. Butterfly</t>
  </si>
  <si>
    <t>https://www.imdb.com/title/tt0107468/</t>
  </si>
  <si>
    <t>David Cronenberg</t>
  </si>
  <si>
    <t>tt10749786</t>
  </si>
  <si>
    <t>Atlantis</t>
  </si>
  <si>
    <t>https://www.imdb.com/title/tt10749786/</t>
  </si>
  <si>
    <t>Valentyn Vasyanovych</t>
  </si>
  <si>
    <t>tt0107653</t>
  </si>
  <si>
    <t>Naked</t>
  </si>
  <si>
    <t>https://www.imdb.com/title/tt0107653/</t>
  </si>
  <si>
    <t>Comedy, Drama</t>
  </si>
  <si>
    <t>Mike Leigh</t>
  </si>
  <si>
    <t>tt0107688</t>
  </si>
  <si>
    <t>The Nightmare Before Christmas</t>
  </si>
  <si>
    <t>https://www.imdb.com/title/tt0107688/</t>
  </si>
  <si>
    <t>Animation, Family, Fantasy, Musical</t>
  </si>
  <si>
    <t>Henry Selick</t>
  </si>
  <si>
    <t>tt0108052</t>
  </si>
  <si>
    <t>Schindler's List</t>
  </si>
  <si>
    <t>https://www.imdb.com/title/tt0108052/</t>
  </si>
  <si>
    <t>9.0</t>
  </si>
  <si>
    <t>Steven Spielberg</t>
  </si>
  <si>
    <t>tt0108394</t>
  </si>
  <si>
    <t>Trois couleurs: Bleu</t>
  </si>
  <si>
    <t>https://www.imdb.com/title/tt0108394/</t>
  </si>
  <si>
    <t>Drama, Music, Mystery, Romance</t>
  </si>
  <si>
    <t>tt0108399</t>
  </si>
  <si>
    <t>True Romance</t>
  </si>
  <si>
    <t>https://www.imdb.com/title/tt0108399/</t>
  </si>
  <si>
    <t>Crime, Drama, Romance, Thriller</t>
  </si>
  <si>
    <t>Tony Scott</t>
  </si>
  <si>
    <t>Friends</t>
  </si>
  <si>
    <t>https://www.imdb.com/title/tt0108778/</t>
  </si>
  <si>
    <t>8.9</t>
  </si>
  <si>
    <t>tt1091722</t>
  </si>
  <si>
    <t>Adventureland</t>
  </si>
  <si>
    <t>https://www.imdb.com/title/tt1091722/</t>
  </si>
  <si>
    <t>Greg Mottola</t>
  </si>
  <si>
    <t>tt0109424</t>
  </si>
  <si>
    <t>Chung Hing sam lam</t>
  </si>
  <si>
    <t>https://www.imdb.com/title/tt0109424/</t>
  </si>
  <si>
    <t>Comedy, Crime, Drama, Mystery, Romance</t>
  </si>
  <si>
    <t>Kar-Wai Wong</t>
  </si>
  <si>
    <t>tt1094249</t>
  </si>
  <si>
    <t>Hotel Chevalier</t>
  </si>
  <si>
    <t>https://www.imdb.com/title/tt1094249/</t>
  </si>
  <si>
    <t>Short, Drama, Romance</t>
  </si>
  <si>
    <t>Wes Anderson</t>
  </si>
  <si>
    <t>tt10944760</t>
  </si>
  <si>
    <t>Titane</t>
  </si>
  <si>
    <t>https://www.imdb.com/title/tt10944760/</t>
  </si>
  <si>
    <t>Drama, Horror, Sci-Fi, Thriller</t>
  </si>
  <si>
    <t>Julia Ducournau</t>
  </si>
  <si>
    <t>tt10986222</t>
  </si>
  <si>
    <t>C'mon C'mon</t>
  </si>
  <si>
    <t>https://www.imdb.com/title/tt10986222/</t>
  </si>
  <si>
    <t>Mike Mills</t>
  </si>
  <si>
    <t>tt0110413</t>
  </si>
  <si>
    <t>Léon</t>
  </si>
  <si>
    <t>https://www.imdb.com/title/tt0110413/</t>
  </si>
  <si>
    <t>Action, Crime, Drama, Thriller</t>
  </si>
  <si>
    <t>Luc Besson</t>
  </si>
  <si>
    <t>tt0110475</t>
  </si>
  <si>
    <t>The Mask</t>
  </si>
  <si>
    <t>https://www.imdb.com/title/tt0110475/</t>
  </si>
  <si>
    <t>Action, Comedy, Crime, Fantasy</t>
  </si>
  <si>
    <t>Chuck Russell</t>
  </si>
  <si>
    <t>tt11080676</t>
  </si>
  <si>
    <t>Nebenan</t>
  </si>
  <si>
    <t>https://www.imdb.com/title/tt11080676/</t>
  </si>
  <si>
    <t>Daniel Brühl</t>
  </si>
  <si>
    <t>tt0110912</t>
  </si>
  <si>
    <t>Pulp Fiction</t>
  </si>
  <si>
    <t>https://www.imdb.com/title/tt0110912/</t>
  </si>
  <si>
    <t>Crime, Drama</t>
  </si>
  <si>
    <t>tt0111161</t>
  </si>
  <si>
    <t>The Shawshank Redemption</t>
  </si>
  <si>
    <t>https://www.imdb.com/title/tt0111161/</t>
  </si>
  <si>
    <t>9.3</t>
  </si>
  <si>
    <t>Frank Darabont</t>
  </si>
  <si>
    <t>tt0111495</t>
  </si>
  <si>
    <t>Trois couleurs: Rouge</t>
  </si>
  <si>
    <t>https://www.imdb.com/title/tt0111495/</t>
  </si>
  <si>
    <t>8.1</t>
  </si>
  <si>
    <t>Drama, Mystery, Romance</t>
  </si>
  <si>
    <t>tt0111507</t>
  </si>
  <si>
    <t>Trois couleurs: Blanc</t>
  </si>
  <si>
    <t>https://www.imdb.com/title/tt0111507/</t>
  </si>
  <si>
    <t>tt0112471</t>
  </si>
  <si>
    <t>Before Sunrise</t>
  </si>
  <si>
    <t>https://www.imdb.com/title/tt0112471/</t>
  </si>
  <si>
    <t>Richard Linklater</t>
  </si>
  <si>
    <t>tt1126591</t>
  </si>
  <si>
    <t>Burlesque</t>
  </si>
  <si>
    <t>https://www.imdb.com/title/tt1126591/</t>
  </si>
  <si>
    <t>6.4</t>
  </si>
  <si>
    <t>Drama, Music, Musical, Romance</t>
  </si>
  <si>
    <t>Steve Antin</t>
  </si>
  <si>
    <t>tt0112697</t>
  </si>
  <si>
    <t>Clueless</t>
  </si>
  <si>
    <t>https://www.imdb.com/title/tt0112697/</t>
  </si>
  <si>
    <t>Amy Heckerling</t>
  </si>
  <si>
    <t>tt11271038</t>
  </si>
  <si>
    <t>Licorice Pizza</t>
  </si>
  <si>
    <t>https://www.imdb.com/title/tt11271038/</t>
  </si>
  <si>
    <t>Paul Thomas Anderson</t>
  </si>
  <si>
    <t>tt11286314</t>
  </si>
  <si>
    <t>Don't Look Up</t>
  </si>
  <si>
    <t>https://www.imdb.com/title/tt11286314/</t>
  </si>
  <si>
    <t>Comedy, Drama, Sci-Fi</t>
  </si>
  <si>
    <t>Adam McKay</t>
  </si>
  <si>
    <t>tt0112913</t>
  </si>
  <si>
    <t>Do lok tin si</t>
  </si>
  <si>
    <t>https://www.imdb.com/title/tt0112913/</t>
  </si>
  <si>
    <t>Comedy, Crime, Drama, Romance</t>
  </si>
  <si>
    <t>tt1130884</t>
  </si>
  <si>
    <t>Shutter Island</t>
  </si>
  <si>
    <t>https://www.imdb.com/title/tt1130884/</t>
  </si>
  <si>
    <t>8.2</t>
  </si>
  <si>
    <t>Mystery, Thriller</t>
  </si>
  <si>
    <t>Martin Scorsese</t>
  </si>
  <si>
    <t>tt11317142</t>
  </si>
  <si>
    <t>Shiva Baby</t>
  </si>
  <si>
    <t>https://www.imdb.com/title/tt11317142/</t>
  </si>
  <si>
    <t>Emma Seligman</t>
  </si>
  <si>
    <t>tt1131724</t>
  </si>
  <si>
    <t>2:22</t>
  </si>
  <si>
    <t>https://www.imdb.com/title/tt1131724/</t>
  </si>
  <si>
    <t>5.7</t>
  </si>
  <si>
    <t>Drama, Mystery, Romance, Sci-Fi, Thriller</t>
  </si>
  <si>
    <t>Paul Currie</t>
  </si>
  <si>
    <t>tt0113247</t>
  </si>
  <si>
    <t>La haine</t>
  </si>
  <si>
    <t>https://www.imdb.com/title/tt0113247/</t>
  </si>
  <si>
    <t>Mathieu Kassovitz</t>
  </si>
  <si>
    <t>tt11386020</t>
  </si>
  <si>
    <t>Chornyy Voron</t>
  </si>
  <si>
    <t>https://www.imdb.com/title/tt11386020/</t>
  </si>
  <si>
    <t>Drama, History, War</t>
  </si>
  <si>
    <t>Taras Tkachenko</t>
  </si>
  <si>
    <t>tt11394182</t>
  </si>
  <si>
    <t>Feels Good Man</t>
  </si>
  <si>
    <t>https://www.imdb.com/title/tt11394182/</t>
  </si>
  <si>
    <t>Documentary, Comedy</t>
  </si>
  <si>
    <t>Arthur Jones</t>
  </si>
  <si>
    <t>tt1139797</t>
  </si>
  <si>
    <t>Låt den rätte komma in</t>
  </si>
  <si>
    <t>https://www.imdb.com/title/tt1139797/</t>
  </si>
  <si>
    <t>Drama, Fantasy, Horror, Romance</t>
  </si>
  <si>
    <t>Tomas Alfredson</t>
  </si>
  <si>
    <t>tt11402054</t>
  </si>
  <si>
    <t>Viddana</t>
  </si>
  <si>
    <t>https://www.imdb.com/title/tt11402054/</t>
  </si>
  <si>
    <t>Drama, Fantasy, History, Romance</t>
  </si>
  <si>
    <t>Khrystyna Syvolap</t>
  </si>
  <si>
    <t>tt0114369</t>
  </si>
  <si>
    <t>Se7en</t>
  </si>
  <si>
    <t>https://www.imdb.com/title/tt0114369/</t>
  </si>
  <si>
    <t>Crime, Drama, Mystery, Thriller</t>
  </si>
  <si>
    <t>tt11439628</t>
  </si>
  <si>
    <t>Train Kyiv-War</t>
  </si>
  <si>
    <t>https://www.imdb.com/title/tt11439628/</t>
  </si>
  <si>
    <t>Kornii Hrytsiuk</t>
  </si>
  <si>
    <t>tt0114436</t>
  </si>
  <si>
    <t>Showgirls</t>
  </si>
  <si>
    <t>https://www.imdb.com/title/tt0114436/</t>
  </si>
  <si>
    <t>5.1</t>
  </si>
  <si>
    <t>tt1144884</t>
  </si>
  <si>
    <t>The Final Destination</t>
  </si>
  <si>
    <t>https://www.imdb.com/title/tt1144884/</t>
  </si>
  <si>
    <t>Horror, Thriller</t>
  </si>
  <si>
    <t>David R. Ellis</t>
  </si>
  <si>
    <t>tt0114787</t>
  </si>
  <si>
    <t>Underground</t>
  </si>
  <si>
    <t>https://www.imdb.com/title/tt0114787/</t>
  </si>
  <si>
    <t>Comedy, Drama, Fantasy, War</t>
  </si>
  <si>
    <t>Emir Kusturica</t>
  </si>
  <si>
    <t>tt11532922</t>
  </si>
  <si>
    <t>One Man and His Shoes</t>
  </si>
  <si>
    <t>https://www.imdb.com/title/tt11532922/</t>
  </si>
  <si>
    <t>Documentary, Biography, History, Sport</t>
  </si>
  <si>
    <t>Yemi Bamiro</t>
  </si>
  <si>
    <t>tt0115940</t>
  </si>
  <si>
    <t>Conte d'été</t>
  </si>
  <si>
    <t>https://www.imdb.com/title/tt0115940/</t>
  </si>
  <si>
    <t>Éric Rohmer</t>
  </si>
  <si>
    <t>tt0115964</t>
  </si>
  <si>
    <t>Crash</t>
  </si>
  <si>
    <t>https://www.imdb.com/title/tt0115964/</t>
  </si>
  <si>
    <t>tt1160419</t>
  </si>
  <si>
    <t>Dune: Part One</t>
  </si>
  <si>
    <t>https://www.imdb.com/title/tt1160419/</t>
  </si>
  <si>
    <t>Action, Adventure, Drama, Sci-Fi</t>
  </si>
  <si>
    <t>Denis Villeneuve</t>
  </si>
  <si>
    <t>tt0116282</t>
  </si>
  <si>
    <t>Fargo</t>
  </si>
  <si>
    <t>https://www.imdb.com/title/tt0116282/</t>
  </si>
  <si>
    <t>Joel Coen, Ethan Coen</t>
  </si>
  <si>
    <t>tt0116922</t>
  </si>
  <si>
    <t>Lost Highway</t>
  </si>
  <si>
    <t>https://www.imdb.com/title/tt0116922/</t>
  </si>
  <si>
    <t>David Lynch</t>
  </si>
  <si>
    <t>tt11760792</t>
  </si>
  <si>
    <t>La voz humana</t>
  </si>
  <si>
    <t>https://www.imdb.com/title/tt11760792/</t>
  </si>
  <si>
    <t>Short, Drama</t>
  </si>
  <si>
    <t>Pedro Almodóvar</t>
  </si>
  <si>
    <t>tt11771626</t>
  </si>
  <si>
    <t>Nomery</t>
  </si>
  <si>
    <t>https://www.imdb.com/title/tt11771626/</t>
  </si>
  <si>
    <t>5.5</t>
  </si>
  <si>
    <t>Drama, Sci-Fi</t>
  </si>
  <si>
    <t>Akhtem Seitablaev, Oleh Sentsov</t>
  </si>
  <si>
    <t>tt11773492</t>
  </si>
  <si>
    <t>Goulag: Une histoire soviétique</t>
  </si>
  <si>
    <t>https://www.imdb.com/title/tt11773492/</t>
  </si>
  <si>
    <t>Documentary, History</t>
  </si>
  <si>
    <t>tt11774632</t>
  </si>
  <si>
    <t>Budynok</t>
  </si>
  <si>
    <t>https://www.imdb.com/title/tt11774632/</t>
  </si>
  <si>
    <t>Matilda Mester, Tatjana Kononenko</t>
  </si>
  <si>
    <t>tt11774746</t>
  </si>
  <si>
    <t>Ne khvylyuysya, dveri vidchynyatsya</t>
  </si>
  <si>
    <t>https://www.imdb.com/title/tt11774746/</t>
  </si>
  <si>
    <t>Oksana Karpovych</t>
  </si>
  <si>
    <t>tt11775972</t>
  </si>
  <si>
    <t>Modell Olimpia</t>
  </si>
  <si>
    <t>https://www.imdb.com/title/tt11775972/</t>
  </si>
  <si>
    <t>Frédéric Hambalek</t>
  </si>
  <si>
    <t>tt0117951</t>
  </si>
  <si>
    <t>Trainspotting</t>
  </si>
  <si>
    <t>https://www.imdb.com/title/tt0117951/</t>
  </si>
  <si>
    <t>Danny Boyle</t>
  </si>
  <si>
    <t>tt1179933</t>
  </si>
  <si>
    <t>10 Cloverfield Lane</t>
  </si>
  <si>
    <t>https://www.imdb.com/title/tt1179933/</t>
  </si>
  <si>
    <t>Drama, Horror, Mystery, Sci-Fi, Thriller</t>
  </si>
  <si>
    <t>Dan Trachtenberg</t>
  </si>
  <si>
    <t>tt0118125</t>
  </si>
  <si>
    <t>The Watermelon Woman</t>
  </si>
  <si>
    <t>https://www.imdb.com/title/tt0118125/</t>
  </si>
  <si>
    <t>Cheryl Dunye</t>
  </si>
  <si>
    <t>tt11813216</t>
  </si>
  <si>
    <t>The Banshees of Inisherin</t>
  </si>
  <si>
    <t>https://www.imdb.com/title/tt11813216/</t>
  </si>
  <si>
    <t>Martin McDonagh</t>
  </si>
  <si>
    <t>tt0118694</t>
  </si>
  <si>
    <t>Fa yeung nin wah</t>
  </si>
  <si>
    <t>https://www.imdb.com/title/tt0118694/</t>
  </si>
  <si>
    <t>tt0118715</t>
  </si>
  <si>
    <t>The Big Lebowski</t>
  </si>
  <si>
    <t>https://www.imdb.com/title/tt0118715/</t>
  </si>
  <si>
    <t>Comedy, Crime</t>
  </si>
  <si>
    <t>tt0118749</t>
  </si>
  <si>
    <t>Boogie Nights</t>
  </si>
  <si>
    <t>https://www.imdb.com/title/tt0118749/</t>
  </si>
  <si>
    <t>tt0118789</t>
  </si>
  <si>
    <t>Buffalo '66</t>
  </si>
  <si>
    <t>https://www.imdb.com/title/tt0118789/</t>
  </si>
  <si>
    <t>Vincent Gallo</t>
  </si>
  <si>
    <t>tt0118845</t>
  </si>
  <si>
    <t>Chun gwong cha sit</t>
  </si>
  <si>
    <t>https://www.imdb.com/title/tt0118845/</t>
  </si>
  <si>
    <t>tt1191111</t>
  </si>
  <si>
    <t>Enter the Void</t>
  </si>
  <si>
    <t>https://www.imdb.com/title/tt1191111/</t>
  </si>
  <si>
    <t>Drama, Fantasy</t>
  </si>
  <si>
    <t>tt0119174</t>
  </si>
  <si>
    <t>The Game</t>
  </si>
  <si>
    <t>https://www.imdb.com/title/tt0119174/</t>
  </si>
  <si>
    <t>tt11992694</t>
  </si>
  <si>
    <t>Corsage</t>
  </si>
  <si>
    <t>https://www.imdb.com/title/tt11992694/</t>
  </si>
  <si>
    <t>6.6</t>
  </si>
  <si>
    <t>Marie Kreutzer</t>
  </si>
  <si>
    <t>tt0120265</t>
  </si>
  <si>
    <t>Ta'm e guilass</t>
  </si>
  <si>
    <t>https://www.imdb.com/title/tt0120265/</t>
  </si>
  <si>
    <t>Abbas Kiarostami</t>
  </si>
  <si>
    <t>tt0120382</t>
  </si>
  <si>
    <t>The Truman Show</t>
  </si>
  <si>
    <t>https://www.imdb.com/title/tt0120382/</t>
  </si>
  <si>
    <t>Peter Weir</t>
  </si>
  <si>
    <t>tt0120663</t>
  </si>
  <si>
    <t>Eyes Wide Shut</t>
  </si>
  <si>
    <t>https://www.imdb.com/title/tt0120663/</t>
  </si>
  <si>
    <t>Stanley Kubrick</t>
  </si>
  <si>
    <t>tt0120789</t>
  </si>
  <si>
    <t>Pleasantville</t>
  </si>
  <si>
    <t>https://www.imdb.com/title/tt0120789/</t>
  </si>
  <si>
    <t>Comedy, Drama, Fantasy</t>
  </si>
  <si>
    <t>Gary Ross</t>
  </si>
  <si>
    <t>tt0120791</t>
  </si>
  <si>
    <t>Practical Magic</t>
  </si>
  <si>
    <t>https://www.imdb.com/title/tt0120791/</t>
  </si>
  <si>
    <t>Comedy, Drama, Fantasy, Romance</t>
  </si>
  <si>
    <t>Griffin Dunne</t>
  </si>
  <si>
    <t>tt12087624</t>
  </si>
  <si>
    <t>Sincerely Louis CK</t>
  </si>
  <si>
    <t>https://www.imdb.com/title/tt12087624/</t>
  </si>
  <si>
    <t>tvSpecial</t>
  </si>
  <si>
    <t>Louis C.K.</t>
  </si>
  <si>
    <t>tt0120879</t>
  </si>
  <si>
    <t>Velvet Goldmine</t>
  </si>
  <si>
    <t>https://www.imdb.com/title/tt0120879/</t>
  </si>
  <si>
    <t>Drama, Music</t>
  </si>
  <si>
    <t>Todd Haynes</t>
  </si>
  <si>
    <t>tt12115998</t>
  </si>
  <si>
    <t>Spiymaty Kaydasha</t>
  </si>
  <si>
    <t>https://www.imdb.com/title/tt12115998/</t>
  </si>
  <si>
    <t>tt0121164</t>
  </si>
  <si>
    <t>Corpse Bride</t>
  </si>
  <si>
    <t>https://www.imdb.com/title/tt0121164/</t>
  </si>
  <si>
    <t>Animation, Drama, Family, Fantasy, Musical, Romance</t>
  </si>
  <si>
    <t>Tim Burton, Mike Johnson</t>
  </si>
  <si>
    <t>tt12166434</t>
  </si>
  <si>
    <t>Once Upon a Time in Ukraine</t>
  </si>
  <si>
    <t>https://www.imdb.com/title/tt12166434/</t>
  </si>
  <si>
    <t>Action, Adventure, Comedy, Western</t>
  </si>
  <si>
    <t>Roman Perfilyev</t>
  </si>
  <si>
    <t>tt1226837</t>
  </si>
  <si>
    <t>Beautiful Boy</t>
  </si>
  <si>
    <t>https://www.imdb.com/title/tt1226837/</t>
  </si>
  <si>
    <t>Biography, Drama</t>
  </si>
  <si>
    <t>Felix van Groeningen</t>
  </si>
  <si>
    <t>tt12281596</t>
  </si>
  <si>
    <t>Moustache Funk</t>
  </si>
  <si>
    <t>https://www.imdb.com/title/tt12281596/</t>
  </si>
  <si>
    <t>Oleksandr Kovsh</t>
  </si>
  <si>
    <t>tt0123865</t>
  </si>
  <si>
    <t>Gia</t>
  </si>
  <si>
    <t>https://www.imdb.com/title/tt0123865/</t>
  </si>
  <si>
    <t>tvMovie</t>
  </si>
  <si>
    <t>Biography, Drama, Romance</t>
  </si>
  <si>
    <t>Michael Cristofer</t>
  </si>
  <si>
    <t>tt1242460</t>
  </si>
  <si>
    <t>We Need to Talk About Kevin</t>
  </si>
  <si>
    <t>https://www.imdb.com/title/tt1242460/</t>
  </si>
  <si>
    <t>Lynne Ramsay</t>
  </si>
  <si>
    <t>tt12477480</t>
  </si>
  <si>
    <t>Heojil kyolshim</t>
  </si>
  <si>
    <t>https://www.imdb.com/title/tt12477480/</t>
  </si>
  <si>
    <t>Crime, Drama, Mystery, Romance, Thriller</t>
  </si>
  <si>
    <t>Park Chan-wook</t>
  </si>
  <si>
    <t>tt12498618</t>
  </si>
  <si>
    <t>https://www.imdb.com/title/tt12498618/</t>
  </si>
  <si>
    <t>Short, Comedy</t>
  </si>
  <si>
    <t>Steven Bognar, Julia Reichert</t>
  </si>
  <si>
    <t>tt12536294</t>
  </si>
  <si>
    <t>Spencer</t>
  </si>
  <si>
    <t>https://www.imdb.com/title/tt12536294/</t>
  </si>
  <si>
    <t>Pablo Larraín</t>
  </si>
  <si>
    <t>tt12588092</t>
  </si>
  <si>
    <t>Tiger Is Strolling Around</t>
  </si>
  <si>
    <t>https://www.imdb.com/title/tt12588092/</t>
  </si>
  <si>
    <t>Animation, Short, Drama</t>
  </si>
  <si>
    <t>Anastasia Falileieva</t>
  </si>
  <si>
    <t>tt12593682</t>
  </si>
  <si>
    <t>Bullet Train</t>
  </si>
  <si>
    <t>https://www.imdb.com/title/tt12593682/</t>
  </si>
  <si>
    <t>Action, Comedy, Thriller</t>
  </si>
  <si>
    <t>David Leitch</t>
  </si>
  <si>
    <t>tt12603948</t>
  </si>
  <si>
    <t>Kachalka</t>
  </si>
  <si>
    <t>https://www.imdb.com/title/tt12603948/</t>
  </si>
  <si>
    <t>Gar O'Rourke</t>
  </si>
  <si>
    <t>tt1263778</t>
  </si>
  <si>
    <t>La belle personne</t>
  </si>
  <si>
    <t>https://www.imdb.com/title/tt1263778/</t>
  </si>
  <si>
    <t>Christophe Honoré</t>
  </si>
  <si>
    <t>tt12673718</t>
  </si>
  <si>
    <t>The New York Times Presents: Framing Britney Spears</t>
  </si>
  <si>
    <t>https://www.imdb.com/title/tt12673718/</t>
  </si>
  <si>
    <t>tvEpisode</t>
  </si>
  <si>
    <t>Samantha Stark</t>
  </si>
  <si>
    <t>tt12676326</t>
  </si>
  <si>
    <t>Malcolm &amp; Marie</t>
  </si>
  <si>
    <t>https://www.imdb.com/title/tt12676326/</t>
  </si>
  <si>
    <t>Sam Levinson</t>
  </si>
  <si>
    <t>tt12680684</t>
  </si>
  <si>
    <t>È stata la mano di Dio</t>
  </si>
  <si>
    <t>https://www.imdb.com/title/tt12680684/</t>
  </si>
  <si>
    <t>Paolo Sorrentino</t>
  </si>
  <si>
    <t>tt12747748</t>
  </si>
  <si>
    <t>Leave the World Behind</t>
  </si>
  <si>
    <t>https://www.imdb.com/title/tt12747748/</t>
  </si>
  <si>
    <t>Sam Esmail</t>
  </si>
  <si>
    <t>tt12789558</t>
  </si>
  <si>
    <t>Belfast</t>
  </si>
  <si>
    <t>https://www.imdb.com/title/tt12789558/</t>
  </si>
  <si>
    <t>Kenneth Branagh</t>
  </si>
  <si>
    <t>tt12801262</t>
  </si>
  <si>
    <t>Luca</t>
  </si>
  <si>
    <t>https://www.imdb.com/title/tt12801262/</t>
  </si>
  <si>
    <t>Animation, Adventure, Comedy, Drama, Family, Fantasy</t>
  </si>
  <si>
    <t>Enrico Casarosa</t>
  </si>
  <si>
    <t>tt1285309</t>
  </si>
  <si>
    <t>The Joneses</t>
  </si>
  <si>
    <t>https://www.imdb.com/title/tt1285309/</t>
  </si>
  <si>
    <t>Derrick Borte</t>
  </si>
  <si>
    <t>tt12869276</t>
  </si>
  <si>
    <t>Wesele</t>
  </si>
  <si>
    <t>https://www.imdb.com/title/tt12869276/</t>
  </si>
  <si>
    <t>Wojciech Smarzowski</t>
  </si>
  <si>
    <t>tt12957596</t>
  </si>
  <si>
    <t>Bullmastiff</t>
  </si>
  <si>
    <t>https://www.imdb.com/title/tt12957596/</t>
  </si>
  <si>
    <t>Anastasiya Bukovska</t>
  </si>
  <si>
    <t>tt12980498</t>
  </si>
  <si>
    <t>The Surrogate</t>
  </si>
  <si>
    <t>https://www.imdb.com/title/tt12980498/</t>
  </si>
  <si>
    <t>Animation, Short, Crime, Horror</t>
  </si>
  <si>
    <t>Stas Santimov</t>
  </si>
  <si>
    <t>tt12980524</t>
  </si>
  <si>
    <t>Save Me, Doctor!</t>
  </si>
  <si>
    <t>https://www.imdb.com/title/tt12980524/</t>
  </si>
  <si>
    <t>Short, Documentary</t>
  </si>
  <si>
    <t>Dmytro Hreshko</t>
  </si>
  <si>
    <t>tt1302006</t>
  </si>
  <si>
    <t>The Irishman</t>
  </si>
  <si>
    <t>https://www.imdb.com/title/tt1302006/</t>
  </si>
  <si>
    <t>Biography, Crime, Drama</t>
  </si>
  <si>
    <t>tt0130827</t>
  </si>
  <si>
    <t>Lola rennt</t>
  </si>
  <si>
    <t>https://www.imdb.com/title/tt0130827/</t>
  </si>
  <si>
    <t>Action, Crime, Thriller</t>
  </si>
  <si>
    <t>Tom Tykwer</t>
  </si>
  <si>
    <t>tt13143964</t>
  </si>
  <si>
    <t>Borat Subsequent Moviefilm: Delivery of Prodigious Bribe to American Regime for Make Benefit Once Glorious Nation of Kazakhstan</t>
  </si>
  <si>
    <t>https://www.imdb.com/title/tt13143964/</t>
  </si>
  <si>
    <t>Jason Woliner</t>
  </si>
  <si>
    <t>tt13204490</t>
  </si>
  <si>
    <t>Petite maman</t>
  </si>
  <si>
    <t>https://www.imdb.com/title/tt13204490/</t>
  </si>
  <si>
    <t>Céline Sciamma</t>
  </si>
  <si>
    <t>tt13271284</t>
  </si>
  <si>
    <t>This Is an Address</t>
  </si>
  <si>
    <t>https://www.imdb.com/title/tt13271284/</t>
  </si>
  <si>
    <t>Sasha Wortzel</t>
  </si>
  <si>
    <t>tt13308316</t>
  </si>
  <si>
    <t>Babysitter</t>
  </si>
  <si>
    <t>https://www.imdb.com/title/tt13308316/</t>
  </si>
  <si>
    <t>Comedy, Drama, Mystery</t>
  </si>
  <si>
    <t>Monia Chokri</t>
  </si>
  <si>
    <t>tt13327038</t>
  </si>
  <si>
    <t>Do Revenge</t>
  </si>
  <si>
    <t>https://www.imdb.com/title/tt13327038/</t>
  </si>
  <si>
    <t>Comedy, Romance, Thriller</t>
  </si>
  <si>
    <t>Jennifer Kaytin Robinson</t>
  </si>
  <si>
    <t>tt1333667</t>
  </si>
  <si>
    <t>When You're Strange</t>
  </si>
  <si>
    <t>https://www.imdb.com/title/tt1333667/</t>
  </si>
  <si>
    <t>Documentary, Music</t>
  </si>
  <si>
    <t>Tom DiCillo</t>
  </si>
  <si>
    <t>tt13391802</t>
  </si>
  <si>
    <t>Normal People Confessions</t>
  </si>
  <si>
    <t>https://www.imdb.com/title/tt13391802/</t>
  </si>
  <si>
    <t>video</t>
  </si>
  <si>
    <t>Lenny Abrahamson</t>
  </si>
  <si>
    <t>tt0134119</t>
  </si>
  <si>
    <t>The Talented Mr. Ripley</t>
  </si>
  <si>
    <t>https://www.imdb.com/title/tt0134119/</t>
  </si>
  <si>
    <t>Anthony Minghella</t>
  </si>
  <si>
    <t>tt13416976</t>
  </si>
  <si>
    <t>Río turbio</t>
  </si>
  <si>
    <t>https://www.imdb.com/title/tt13416976/</t>
  </si>
  <si>
    <t>Tatiana Mazú González</t>
  </si>
  <si>
    <t>tt1343092</t>
  </si>
  <si>
    <t>The Great Gatsby</t>
  </si>
  <si>
    <t>https://www.imdb.com/title/tt1343092/</t>
  </si>
  <si>
    <t>Baz Luhrmann</t>
  </si>
  <si>
    <t>tt13443470</t>
  </si>
  <si>
    <t>Wednesday</t>
  </si>
  <si>
    <t>https://www.imdb.com/title/tt13443470/</t>
  </si>
  <si>
    <t>Comedy, Crime, Fantasy, Mystery</t>
  </si>
  <si>
    <t>tt13453006</t>
  </si>
  <si>
    <t>Red Rocket</t>
  </si>
  <si>
    <t>https://www.imdb.com/title/tt13453006/</t>
  </si>
  <si>
    <t>Sean Baker</t>
  </si>
  <si>
    <t>tt13521006</t>
  </si>
  <si>
    <t>Beau Is Afraid</t>
  </si>
  <si>
    <t>https://www.imdb.com/title/tt13521006/</t>
  </si>
  <si>
    <t>Comedy, Drama, Horror</t>
  </si>
  <si>
    <t>Ari Aster</t>
  </si>
  <si>
    <t>tt13560574</t>
  </si>
  <si>
    <t>X</t>
  </si>
  <si>
    <t>https://www.imdb.com/title/tt13560574/</t>
  </si>
  <si>
    <t>Horror, Mystery, Thriller</t>
  </si>
  <si>
    <t>Ti West</t>
  </si>
  <si>
    <t>tt13622118</t>
  </si>
  <si>
    <t>Cryptozoo</t>
  </si>
  <si>
    <t>https://www.imdb.com/title/tt13622118/</t>
  </si>
  <si>
    <t>Animation, Fantasy</t>
  </si>
  <si>
    <t>Dash Shaw</t>
  </si>
  <si>
    <t>tt13651794</t>
  </si>
  <si>
    <t>May December</t>
  </si>
  <si>
    <t>https://www.imdb.com/title/tt13651794/</t>
  </si>
  <si>
    <t>tt0137523</t>
  </si>
  <si>
    <t>Fight Club</t>
  </si>
  <si>
    <t>https://www.imdb.com/title/tt0137523/</t>
  </si>
  <si>
    <t>8.8</t>
  </si>
  <si>
    <t>tt1375666</t>
  </si>
  <si>
    <t>Inception</t>
  </si>
  <si>
    <t>https://www.imdb.com/title/tt1375666/</t>
  </si>
  <si>
    <t>Action, Adventure, Sci-Fi, Thriller</t>
  </si>
  <si>
    <t>Christopher Nolan</t>
  </si>
  <si>
    <t>tt13833688</t>
  </si>
  <si>
    <t>The Whale</t>
  </si>
  <si>
    <t>https://www.imdb.com/title/tt13833688/</t>
  </si>
  <si>
    <t>Darren Aronofsky</t>
  </si>
  <si>
    <t>tt13911628</t>
  </si>
  <si>
    <t>Lessons in Chemistry</t>
  </si>
  <si>
    <t>https://www.imdb.com/title/tt13911628/</t>
  </si>
  <si>
    <t>tt14028890</t>
  </si>
  <si>
    <t>Stop-Zemlia</t>
  </si>
  <si>
    <t>https://www.imdb.com/title/tt14028890/</t>
  </si>
  <si>
    <t>Kateryna Gornostai</t>
  </si>
  <si>
    <t>tt14030488</t>
  </si>
  <si>
    <t>Ja i moja gruba dupa</t>
  </si>
  <si>
    <t>https://www.imdb.com/title/tt14030488/</t>
  </si>
  <si>
    <t>Animation, Short, Comedy</t>
  </si>
  <si>
    <t>Yelyzaveta Pysmak</t>
  </si>
  <si>
    <t>tt14033502</t>
  </si>
  <si>
    <t>Babardeala cu bucluc sau porno balamuc</t>
  </si>
  <si>
    <t>https://www.imdb.com/title/tt14033502/</t>
  </si>
  <si>
    <t>Radu Jude</t>
  </si>
  <si>
    <t>tt14138650</t>
  </si>
  <si>
    <t>The Pale Blue Eye</t>
  </si>
  <si>
    <t>https://www.imdb.com/title/tt14138650/</t>
  </si>
  <si>
    <t>Crime, Horror, Mystery, Thriller</t>
  </si>
  <si>
    <t>Scott Cooper</t>
  </si>
  <si>
    <t>tt14163858</t>
  </si>
  <si>
    <t>Terytoriya pustykh vikon</t>
  </si>
  <si>
    <t>https://www.imdb.com/title/tt14163858/</t>
  </si>
  <si>
    <t>Zoya Laktionova</t>
  </si>
  <si>
    <t>tt1417075</t>
  </si>
  <si>
    <t>W ciemnosci</t>
  </si>
  <si>
    <t>https://www.imdb.com/title/tt1417075/</t>
  </si>
  <si>
    <t>Agnieszka Holland</t>
  </si>
  <si>
    <t>tt14208870</t>
  </si>
  <si>
    <t>The Fabelmans</t>
  </si>
  <si>
    <t>https://www.imdb.com/title/tt14208870/</t>
  </si>
  <si>
    <t>tt1421051</t>
  </si>
  <si>
    <t>Somewhere</t>
  </si>
  <si>
    <t>https://www.imdb.com/title/tt1421051/</t>
  </si>
  <si>
    <t>Sofia Coppola</t>
  </si>
  <si>
    <t>tt14235558</t>
  </si>
  <si>
    <t>Sunday in Strasbourg</t>
  </si>
  <si>
    <t>https://www.imdb.com/title/tt14235558/</t>
  </si>
  <si>
    <t>Ruslana Berndl</t>
  </si>
  <si>
    <t>tt14369780</t>
  </si>
  <si>
    <t>Lady Chatterley's Lover</t>
  </si>
  <si>
    <t>https://www.imdb.com/title/tt14369780/</t>
  </si>
  <si>
    <t>Laure de Clermont-Tonnerre</t>
  </si>
  <si>
    <t>tt14376344</t>
  </si>
  <si>
    <t>Cha Cha Real Smooth</t>
  </si>
  <si>
    <t>https://www.imdb.com/title/tt14376344/</t>
  </si>
  <si>
    <t>Cooper Raiff</t>
  </si>
  <si>
    <t>tt0144084</t>
  </si>
  <si>
    <t>American Psycho</t>
  </si>
  <si>
    <t>https://www.imdb.com/title/tt0144084/</t>
  </si>
  <si>
    <t>Crime, Drama, Horror</t>
  </si>
  <si>
    <t>Mary Harron</t>
  </si>
  <si>
    <t>tt1441395</t>
  </si>
  <si>
    <t>Under the Skin</t>
  </si>
  <si>
    <t>https://www.imdb.com/title/tt1441395/</t>
  </si>
  <si>
    <t>Jonathan Glazer</t>
  </si>
  <si>
    <t>tt0144187</t>
  </si>
  <si>
    <t>Vechir na Ivana Kupala</t>
  </si>
  <si>
    <t>https://www.imdb.com/title/tt0144187/</t>
  </si>
  <si>
    <t>Drama, Fantasy, Mystery</t>
  </si>
  <si>
    <t>Yuri Ilyenko</t>
  </si>
  <si>
    <t>tt0144201</t>
  </si>
  <si>
    <t>La fille sur le pont</t>
  </si>
  <si>
    <t>https://www.imdb.com/title/tt0144201/</t>
  </si>
  <si>
    <t>Patrice Leconte</t>
  </si>
  <si>
    <t>tt14444726</t>
  </si>
  <si>
    <t>Tár</t>
  </si>
  <si>
    <t>https://www.imdb.com/title/tt14444726/</t>
  </si>
  <si>
    <t>Todd Field</t>
  </si>
  <si>
    <t>tt1450321</t>
  </si>
  <si>
    <t>Filth</t>
  </si>
  <si>
    <t>https://www.imdb.com/title/tt1450321/</t>
  </si>
  <si>
    <t>Action, Comedy, Crime, Drama</t>
  </si>
  <si>
    <t>Jon S. Baird</t>
  </si>
  <si>
    <t>tt1454029</t>
  </si>
  <si>
    <t>The Help</t>
  </si>
  <si>
    <t>https://www.imdb.com/title/tt1454029/</t>
  </si>
  <si>
    <t>Tate Taylor</t>
  </si>
  <si>
    <t>tt14544192</t>
  </si>
  <si>
    <t>Bo Burnham: Inside</t>
  </si>
  <si>
    <t>https://www.imdb.com/title/tt14544192/</t>
  </si>
  <si>
    <t>Documentary, Comedy, Drama, Music</t>
  </si>
  <si>
    <t>Bo Burnham</t>
  </si>
  <si>
    <t>tt14599702</t>
  </si>
  <si>
    <t>Deep Water</t>
  </si>
  <si>
    <t>https://www.imdb.com/title/tt14599702/</t>
  </si>
  <si>
    <t>Anna Dudko</t>
  </si>
  <si>
    <t>tt1462758</t>
  </si>
  <si>
    <t>Buried</t>
  </si>
  <si>
    <t>https://www.imdb.com/title/tt1462758/</t>
  </si>
  <si>
    <t>Rodrigo Cortés</t>
  </si>
  <si>
    <t>tt14642626</t>
  </si>
  <si>
    <t>Sick</t>
  </si>
  <si>
    <t>https://www.imdb.com/title/tt14642626/</t>
  </si>
  <si>
    <t>John Hyams</t>
  </si>
  <si>
    <t>tt1475582</t>
  </si>
  <si>
    <t>Sherlock</t>
  </si>
  <si>
    <t>https://www.imdb.com/title/tt1475582/</t>
  </si>
  <si>
    <t>9.1</t>
  </si>
  <si>
    <t>tt14760808</t>
  </si>
  <si>
    <t>Unnecessary Things</t>
  </si>
  <si>
    <t>https://www.imdb.com/title/tt14760808/</t>
  </si>
  <si>
    <t>Dmytro Lisenbart</t>
  </si>
  <si>
    <t>tt14829590</t>
  </si>
  <si>
    <t>Why Didn't They Ask Evans?</t>
  </si>
  <si>
    <t>https://www.imdb.com/title/tt14829590/</t>
  </si>
  <si>
    <t>tt14832996</t>
  </si>
  <si>
    <t>How to Become a Tyrant</t>
  </si>
  <si>
    <t>https://www.imdb.com/title/tt14832996/</t>
  </si>
  <si>
    <t>Documentary, Biography, History, War</t>
  </si>
  <si>
    <t>tt14849194</t>
  </si>
  <si>
    <t>The Holdovers</t>
  </si>
  <si>
    <t>https://www.imdb.com/title/tt14849194/</t>
  </si>
  <si>
    <t>Alexander Payne</t>
  </si>
  <si>
    <t>tt1489887</t>
  </si>
  <si>
    <t>Booksmart</t>
  </si>
  <si>
    <t>https://www.imdb.com/title/tt1489887/</t>
  </si>
  <si>
    <t>tt14936394</t>
  </si>
  <si>
    <t>Exarch</t>
  </si>
  <si>
    <t>https://www.imdb.com/title/tt14936394/</t>
  </si>
  <si>
    <t>5.9</t>
  </si>
  <si>
    <t>Nadia Parfan, Maria Stoianova</t>
  </si>
  <si>
    <t>tt1507355</t>
  </si>
  <si>
    <t>The Butterfly Circus</t>
  </si>
  <si>
    <t>https://www.imdb.com/title/tt1507355/</t>
  </si>
  <si>
    <t>Joshua Weigel</t>
  </si>
  <si>
    <t>tt15100112</t>
  </si>
  <si>
    <t>Koroli repu</t>
  </si>
  <si>
    <t>https://www.imdb.com/title/tt15100112/</t>
  </si>
  <si>
    <t>Drama, Musical</t>
  </si>
  <si>
    <t>Myroslav Latyk</t>
  </si>
  <si>
    <t>tt15100676</t>
  </si>
  <si>
    <t>Prostir</t>
  </si>
  <si>
    <t>https://www.imdb.com/title/tt15100676/</t>
  </si>
  <si>
    <t>Sci-Fi</t>
  </si>
  <si>
    <t>Dmitriy Tomashpolskiy</t>
  </si>
  <si>
    <t>tt1517268</t>
  </si>
  <si>
    <t>Barbie</t>
  </si>
  <si>
    <t>https://www.imdb.com/title/tt1517268/</t>
  </si>
  <si>
    <t>Adventure, Comedy, Fantasy</t>
  </si>
  <si>
    <t>Greta Gerwig</t>
  </si>
  <si>
    <t>tt15193086</t>
  </si>
  <si>
    <t>Voduyrudu</t>
  </si>
  <si>
    <t>https://www.imdb.com/title/tt15193086/</t>
  </si>
  <si>
    <t>Anatoliy Sachivko</t>
  </si>
  <si>
    <t>tt15193236</t>
  </si>
  <si>
    <t>Why I'm Alive</t>
  </si>
  <si>
    <t>https://www.imdb.com/title/tt15193236/</t>
  </si>
  <si>
    <t>Villen Novak</t>
  </si>
  <si>
    <t>tt1527186</t>
  </si>
  <si>
    <t>Melancholia</t>
  </si>
  <si>
    <t>https://www.imdb.com/title/tt1527186/</t>
  </si>
  <si>
    <t>Lars von Trier</t>
  </si>
  <si>
    <t>tt15364972</t>
  </si>
  <si>
    <t>Sanctuary</t>
  </si>
  <si>
    <t>https://www.imdb.com/title/tt15364972/</t>
  </si>
  <si>
    <t>Zachary Wigon</t>
  </si>
  <si>
    <t>tt15381942</t>
  </si>
  <si>
    <t>The Responsible Hero</t>
  </si>
  <si>
    <t>https://www.imdb.com/title/tt15381942/</t>
  </si>
  <si>
    <t>Short, Animation</t>
  </si>
  <si>
    <t>Roman Lysenko</t>
  </si>
  <si>
    <t>tt15398776</t>
  </si>
  <si>
    <t>Oppenheimer</t>
  </si>
  <si>
    <t>https://www.imdb.com/title/tt15398776/</t>
  </si>
  <si>
    <t>8.4</t>
  </si>
  <si>
    <t>tt15422224</t>
  </si>
  <si>
    <t>Slotherhouse</t>
  </si>
  <si>
    <t>https://www.imdb.com/title/tt15422224/</t>
  </si>
  <si>
    <t>4.8</t>
  </si>
  <si>
    <t>Comedy, Horror, Thriller</t>
  </si>
  <si>
    <t>Matthew Goodhue</t>
  </si>
  <si>
    <t>tt15450148</t>
  </si>
  <si>
    <t>The War That Changed Rondo</t>
  </si>
  <si>
    <t>https://www.imdb.com/title/tt15450148/</t>
  </si>
  <si>
    <t>Olha Havrylova</t>
  </si>
  <si>
    <t>tt15450568</t>
  </si>
  <si>
    <t>Dream Flight</t>
  </si>
  <si>
    <t>https://www.imdb.com/title/tt15450568/</t>
  </si>
  <si>
    <t>Mykyta Zhuravlev</t>
  </si>
  <si>
    <t>tt15456618</t>
  </si>
  <si>
    <t>The Diaper Cake</t>
  </si>
  <si>
    <t>https://www.imdb.com/title/tt15456618/</t>
  </si>
  <si>
    <t>Anastasia Babenko</t>
  </si>
  <si>
    <t>tt15567174</t>
  </si>
  <si>
    <t>The Fall of the House of Usher</t>
  </si>
  <si>
    <t>https://www.imdb.com/title/tt15567174/</t>
  </si>
  <si>
    <t>tt0015648</t>
  </si>
  <si>
    <t>Bronenosets Potemkin</t>
  </si>
  <si>
    <t>https://www.imdb.com/title/tt0015648/</t>
  </si>
  <si>
    <t>Drama, History, Thriller, War</t>
  </si>
  <si>
    <t>Sergei Eisenstein</t>
  </si>
  <si>
    <t>tt1570728</t>
  </si>
  <si>
    <t>Crazy, Stupid, Love.</t>
  </si>
  <si>
    <t>https://www.imdb.com/title/tt1570728/</t>
  </si>
  <si>
    <t>Glenn Ficarra, John Requa</t>
  </si>
  <si>
    <t>tt1571222</t>
  </si>
  <si>
    <t>A Dangerous Method</t>
  </si>
  <si>
    <t>https://www.imdb.com/title/tt1571222/</t>
  </si>
  <si>
    <t>Biography, Drama, Romance, Thriller</t>
  </si>
  <si>
    <t>tt0159097</t>
  </si>
  <si>
    <t>The Virgin Suicides</t>
  </si>
  <si>
    <t>https://www.imdb.com/title/tt0159097/</t>
  </si>
  <si>
    <t>tt1600524</t>
  </si>
  <si>
    <t>Les amours imaginaires</t>
  </si>
  <si>
    <t>https://www.imdb.com/title/tt1600524/</t>
  </si>
  <si>
    <t>Xavier Dolan</t>
  </si>
  <si>
    <t>tt1602613</t>
  </si>
  <si>
    <t>Only God Forgives</t>
  </si>
  <si>
    <t>https://www.imdb.com/title/tt1602613/</t>
  </si>
  <si>
    <t>Nicolas Winding Refn</t>
  </si>
  <si>
    <t>tt1605783</t>
  </si>
  <si>
    <t>Midnight in Paris</t>
  </si>
  <si>
    <t>https://www.imdb.com/title/tt1605783/</t>
  </si>
  <si>
    <t>Comedy, Fantasy, Romance</t>
  </si>
  <si>
    <t>Woody Allen</t>
  </si>
  <si>
    <t>tt16153658</t>
  </si>
  <si>
    <t>Drew Michael: Red Blue Green</t>
  </si>
  <si>
    <t>https://www.imdb.com/title/tt16153658/</t>
  </si>
  <si>
    <t>Drew Michael</t>
  </si>
  <si>
    <t>tt1619029</t>
  </si>
  <si>
    <t>Jackie</t>
  </si>
  <si>
    <t>https://www.imdb.com/title/tt1619029/</t>
  </si>
  <si>
    <t>tt1622979</t>
  </si>
  <si>
    <t>Final Destination 5</t>
  </si>
  <si>
    <t>https://www.imdb.com/title/tt1622979/</t>
  </si>
  <si>
    <t>Steven Quale</t>
  </si>
  <si>
    <t>tt16259786</t>
  </si>
  <si>
    <t>Jimmy Carr: His Dark Material</t>
  </si>
  <si>
    <t>https://www.imdb.com/title/tt16259786/</t>
  </si>
  <si>
    <t>Amanda Baker, Brian Klein</t>
  </si>
  <si>
    <t>tt16315948</t>
  </si>
  <si>
    <t>Klondaik</t>
  </si>
  <si>
    <t>https://www.imdb.com/title/tt16315948/</t>
  </si>
  <si>
    <t>Maryna Er Gorbach</t>
  </si>
  <si>
    <t>tt16377920</t>
  </si>
  <si>
    <t>A House Made of Splinters</t>
  </si>
  <si>
    <t>https://www.imdb.com/title/tt16377920/</t>
  </si>
  <si>
    <t>Simon Lereng Wilmont</t>
  </si>
  <si>
    <t>tt0163978</t>
  </si>
  <si>
    <t>The Beach</t>
  </si>
  <si>
    <t>https://www.imdb.com/title/tt0163978/</t>
  </si>
  <si>
    <t>Adventure, Drama, Romance, Thriller</t>
  </si>
  <si>
    <t>tt16435404</t>
  </si>
  <si>
    <t>O Night Divine</t>
  </si>
  <si>
    <t>https://www.imdb.com/title/tt16435404/</t>
  </si>
  <si>
    <t>5.8</t>
  </si>
  <si>
    <t>tt1645170</t>
  </si>
  <si>
    <t>The Dictator</t>
  </si>
  <si>
    <t>https://www.imdb.com/title/tt1645170/</t>
  </si>
  <si>
    <t>Larry Charles</t>
  </si>
  <si>
    <t>tt16491756</t>
  </si>
  <si>
    <t>Louis C.K.: Sorry</t>
  </si>
  <si>
    <t>https://www.imdb.com/title/tt16491756/</t>
  </si>
  <si>
    <t>tt1653921</t>
  </si>
  <si>
    <t>Petit tailleur</t>
  </si>
  <si>
    <t>https://www.imdb.com/title/tt1653921/</t>
  </si>
  <si>
    <t>Louis Garrel</t>
  </si>
  <si>
    <t>tt1655389</t>
  </si>
  <si>
    <t>Blonde</t>
  </si>
  <si>
    <t>https://www.imdb.com/title/tt1655389/</t>
  </si>
  <si>
    <t>Drama, History</t>
  </si>
  <si>
    <t>Andrew Dominik</t>
  </si>
  <si>
    <t>tt1655441</t>
  </si>
  <si>
    <t>The Age of Adaline</t>
  </si>
  <si>
    <t>https://www.imdb.com/title/tt1655441/</t>
  </si>
  <si>
    <t>Drama, Fantasy, Romance</t>
  </si>
  <si>
    <t>Lee Toland Krieger</t>
  </si>
  <si>
    <t>tt1655442</t>
  </si>
  <si>
    <t>The Artist</t>
  </si>
  <si>
    <t>https://www.imdb.com/title/tt1655442/</t>
  </si>
  <si>
    <t>Michel Hazanavicius</t>
  </si>
  <si>
    <t>tt0166924</t>
  </si>
  <si>
    <t>Mulholland Dr.</t>
  </si>
  <si>
    <t>https://www.imdb.com/title/tt0166924/</t>
  </si>
  <si>
    <t>tt1675434</t>
  </si>
  <si>
    <t>Intouchables</t>
  </si>
  <si>
    <t>https://www.imdb.com/title/tt1675434/</t>
  </si>
  <si>
    <t>Olivier Nakache, Éric Toledano</t>
  </si>
  <si>
    <t>tt16800226</t>
  </si>
  <si>
    <t>Diorama</t>
  </si>
  <si>
    <t>https://www.imdb.com/title/tt16800226/</t>
  </si>
  <si>
    <t>Zoya Laktionova, Tetiana Kornieieva</t>
  </si>
  <si>
    <t>tt0169547</t>
  </si>
  <si>
    <t>American Beauty</t>
  </si>
  <si>
    <t>https://www.imdb.com/title/tt0169547/</t>
  </si>
  <si>
    <t>Sam Mendes</t>
  </si>
  <si>
    <t>tt16968450</t>
  </si>
  <si>
    <t>The Wonderful Story of Henry Sugar</t>
  </si>
  <si>
    <t>https://www.imdb.com/title/tt16968450/</t>
  </si>
  <si>
    <t>Short, Adventure, Comedy, Drama</t>
  </si>
  <si>
    <t>tt16969944</t>
  </si>
  <si>
    <t>Copenhagen Cowboy</t>
  </si>
  <si>
    <t>https://www.imdb.com/title/tt16969944/</t>
  </si>
  <si>
    <t>tt17009710</t>
  </si>
  <si>
    <t>Anatomie d'une chute</t>
  </si>
  <si>
    <t>https://www.imdb.com/title/tt17009710/</t>
  </si>
  <si>
    <t>Justine Triet</t>
  </si>
  <si>
    <t>tt17045672</t>
  </si>
  <si>
    <t>The Bright Path</t>
  </si>
  <si>
    <t>https://www.imdb.com/title/tt17045672/</t>
  </si>
  <si>
    <t>Iryna Riabenka</t>
  </si>
  <si>
    <t>tt1706620</t>
  </si>
  <si>
    <t>Snowpiercer</t>
  </si>
  <si>
    <t>https://www.imdb.com/title/tt1706620/</t>
  </si>
  <si>
    <t>Action, Drama, Sci-Fi, Thriller</t>
  </si>
  <si>
    <t>Bong Joon Ho</t>
  </si>
  <si>
    <t>tt17076046</t>
  </si>
  <si>
    <t>Weird: The Al Yankovic Story</t>
  </si>
  <si>
    <t>https://www.imdb.com/title/tt17076046/</t>
  </si>
  <si>
    <t>Comedy, Crime, Music</t>
  </si>
  <si>
    <t>Eric Appel</t>
  </si>
  <si>
    <t>tt0017136</t>
  </si>
  <si>
    <t>Metropolis</t>
  </si>
  <si>
    <t>https://www.imdb.com/title/tt0017136/</t>
  </si>
  <si>
    <t>Fritz Lang</t>
  </si>
  <si>
    <t>tt1714915</t>
  </si>
  <si>
    <t>Only Lovers Left Alive</t>
  </si>
  <si>
    <t>https://www.imdb.com/title/tt1714915/</t>
  </si>
  <si>
    <t>Comedy, Drama, Fantasy, Horror, Romance</t>
  </si>
  <si>
    <t>Jim Jarmusch</t>
  </si>
  <si>
    <t>tt0172493</t>
  </si>
  <si>
    <t>Girl, Interrupted</t>
  </si>
  <si>
    <t>https://www.imdb.com/title/tt0172493/</t>
  </si>
  <si>
    <t>James Mangold</t>
  </si>
  <si>
    <t>tt1727824</t>
  </si>
  <si>
    <t>Bohemian Rhapsody</t>
  </si>
  <si>
    <t>https://www.imdb.com/title/tt1727824/</t>
  </si>
  <si>
    <t>Bryan Singer</t>
  </si>
  <si>
    <t>tt17351924</t>
  </si>
  <si>
    <t>Saltburn</t>
  </si>
  <si>
    <t>https://www.imdb.com/title/tt17351924/</t>
  </si>
  <si>
    <t>Comedy, Drama, Thriller</t>
  </si>
  <si>
    <t>Emerald Fennell</t>
  </si>
  <si>
    <t>tt1745787</t>
  </si>
  <si>
    <t>Plemya</t>
  </si>
  <si>
    <t>https://www.imdb.com/title/tt1745787/</t>
  </si>
  <si>
    <t>Myroslav Slaboshpytskyi</t>
  </si>
  <si>
    <t>tt1748122</t>
  </si>
  <si>
    <t>Moonrise Kingdom</t>
  </si>
  <si>
    <t>https://www.imdb.com/title/tt1748122/</t>
  </si>
  <si>
    <t>Adventure, Comedy, Drama, Family, Fantasy, Romance</t>
  </si>
  <si>
    <t>tt17527468</t>
  </si>
  <si>
    <t>Bottoms</t>
  </si>
  <si>
    <t>https://www.imdb.com/title/tt17527468/</t>
  </si>
  <si>
    <t>tt1791528</t>
  </si>
  <si>
    <t>Inherent Vice</t>
  </si>
  <si>
    <t>https://www.imdb.com/title/tt1791528/</t>
  </si>
  <si>
    <t>tt1798709</t>
  </si>
  <si>
    <t>Her</t>
  </si>
  <si>
    <t>https://www.imdb.com/title/tt1798709/</t>
  </si>
  <si>
    <t>Drama, Romance, Sci-Fi</t>
  </si>
  <si>
    <t>Spike Jonze</t>
  </si>
  <si>
    <t>tt1800241</t>
  </si>
  <si>
    <t>American Hustle</t>
  </si>
  <si>
    <t>https://www.imdb.com/title/tt1800241/</t>
  </si>
  <si>
    <t>tt0180093</t>
  </si>
  <si>
    <t>Requiem for a Dream</t>
  </si>
  <si>
    <t>https://www.imdb.com/title/tt0180093/</t>
  </si>
  <si>
    <t>tt0180563</t>
  </si>
  <si>
    <t>The Body Beautiful</t>
  </si>
  <si>
    <t>https://www.imdb.com/title/tt0180563/</t>
  </si>
  <si>
    <t>Ngozi Onwurah</t>
  </si>
  <si>
    <t>tt1813699</t>
  </si>
  <si>
    <t>The Other Chelsea: A Story from Donetsk</t>
  </si>
  <si>
    <t>https://www.imdb.com/title/tt1813699/</t>
  </si>
  <si>
    <t>Documentary, Drama</t>
  </si>
  <si>
    <t>Jakob Preuss</t>
  </si>
  <si>
    <t>tt1822255</t>
  </si>
  <si>
    <t>Mein bester Feind</t>
  </si>
  <si>
    <t>https://www.imdb.com/title/tt1822255/</t>
  </si>
  <si>
    <t>Comedy, Drama, War</t>
  </si>
  <si>
    <t>Wolfgang Murnberger</t>
  </si>
  <si>
    <t>tt1832363</t>
  </si>
  <si>
    <t>Good Night</t>
  </si>
  <si>
    <t>https://www.imdb.com/title/tt1832363/</t>
  </si>
  <si>
    <t>Muriel d'Ansembourg</t>
  </si>
  <si>
    <t>tt0185125</t>
  </si>
  <si>
    <t>Todo sobre mi madre</t>
  </si>
  <si>
    <t>https://www.imdb.com/title/tt0185125/</t>
  </si>
  <si>
    <t>tt1853728</t>
  </si>
  <si>
    <t>Django Unchained</t>
  </si>
  <si>
    <t>https://www.imdb.com/title/tt1853728/</t>
  </si>
  <si>
    <t>tt0185937</t>
  </si>
  <si>
    <t>The Blair Witch Project</t>
  </si>
  <si>
    <t>https://www.imdb.com/title/tt0185937/</t>
  </si>
  <si>
    <t>Horror, Mystery</t>
  </si>
  <si>
    <t>Eduardo Sánchez, Daniel Myrick</t>
  </si>
  <si>
    <t>tt18816518</t>
  </si>
  <si>
    <t>Syk pike</t>
  </si>
  <si>
    <t>https://www.imdb.com/title/tt18816518/</t>
  </si>
  <si>
    <t>Drama, Horror</t>
  </si>
  <si>
    <t>Kristoffer Borgli</t>
  </si>
  <si>
    <t>tt1883092</t>
  </si>
  <si>
    <t>Unsere Mütter, unsere Väter</t>
  </si>
  <si>
    <t>https://www.imdb.com/title/tt1883092/</t>
  </si>
  <si>
    <t>Action, Drama, History, War</t>
  </si>
  <si>
    <t>tt18925334</t>
  </si>
  <si>
    <t>Pearl</t>
  </si>
  <si>
    <t>https://www.imdb.com/title/tt18925334/</t>
  </si>
  <si>
    <t>Drama, Horror, Thriller</t>
  </si>
  <si>
    <t>tt18933614</t>
  </si>
  <si>
    <t>Kolyshni</t>
  </si>
  <si>
    <t>https://www.imdb.com/title/tt18933614/</t>
  </si>
  <si>
    <t>Olena Moskalchuk, Dmytro Burko</t>
  </si>
  <si>
    <t>tt1901040</t>
  </si>
  <si>
    <t>Wrong</t>
  </si>
  <si>
    <t>https://www.imdb.com/title/tt1901040/</t>
  </si>
  <si>
    <t>6.2</t>
  </si>
  <si>
    <t>Comedy, Mystery</t>
  </si>
  <si>
    <t>Quentin Dupieux</t>
  </si>
  <si>
    <t>tt1921064</t>
  </si>
  <si>
    <t>Pompeii</t>
  </si>
  <si>
    <t>https://www.imdb.com/title/tt1921064/</t>
  </si>
  <si>
    <t>Action, Adventure, Drama, History, Romance</t>
  </si>
  <si>
    <t>Paul W.S. Anderson</t>
  </si>
  <si>
    <t>tt1927035</t>
  </si>
  <si>
    <t>ToyKhtoProyshovKrizVohon</t>
  </si>
  <si>
    <t>https://www.imdb.com/title/tt1927035/</t>
  </si>
  <si>
    <t>Adventure, Biography, Drama</t>
  </si>
  <si>
    <t>Mykhailo Illienko</t>
  </si>
  <si>
    <t>tt1935897</t>
  </si>
  <si>
    <t>Amityville: The Awakening</t>
  </si>
  <si>
    <t>https://www.imdb.com/title/tt1935897/</t>
  </si>
  <si>
    <t>Franck Khalfoun</t>
  </si>
  <si>
    <t>tt1937390</t>
  </si>
  <si>
    <t>Nymphomaniac: Vol. I</t>
  </si>
  <si>
    <t>https://www.imdb.com/title/tt1937390/</t>
  </si>
  <si>
    <t>tt1954701</t>
  </si>
  <si>
    <t>Oh Boy</t>
  </si>
  <si>
    <t>https://www.imdb.com/title/tt1954701/</t>
  </si>
  <si>
    <t>Jan-Ole Gerster</t>
  </si>
  <si>
    <t>tt0195658</t>
  </si>
  <si>
    <t>The Doors: Live at the Hollywood Bowl</t>
  </si>
  <si>
    <t>https://www.imdb.com/title/tt0195658/</t>
  </si>
  <si>
    <t>Ray Manzarek</t>
  </si>
  <si>
    <t>tt0195714</t>
  </si>
  <si>
    <t>Final Destination</t>
  </si>
  <si>
    <t>https://www.imdb.com/title/tt0195714/</t>
  </si>
  <si>
    <t>James Wong</t>
  </si>
  <si>
    <t>tt0019611</t>
  </si>
  <si>
    <t>Zvenigora</t>
  </si>
  <si>
    <t>https://www.imdb.com/title/tt0019611/</t>
  </si>
  <si>
    <t>Aleksandr Dovzhenko</t>
  </si>
  <si>
    <t>tt1974419</t>
  </si>
  <si>
    <t>The Neon Demon</t>
  </si>
  <si>
    <t>https://www.imdb.com/title/tt1974419/</t>
  </si>
  <si>
    <t>tt0019760</t>
  </si>
  <si>
    <t>Chelovek s kino-apparatom</t>
  </si>
  <si>
    <t>https://www.imdb.com/title/tt0019760/</t>
  </si>
  <si>
    <t>Dziga Vertov</t>
  </si>
  <si>
    <t>tt19770238</t>
  </si>
  <si>
    <t>Aftersun</t>
  </si>
  <si>
    <t>https://www.imdb.com/title/tt19770238/</t>
  </si>
  <si>
    <t>Charlotte Wells</t>
  </si>
  <si>
    <t>tt19783714</t>
  </si>
  <si>
    <t>Luxembourg, Luxembourg</t>
  </si>
  <si>
    <t>https://www.imdb.com/title/tt19783714/</t>
  </si>
  <si>
    <t>Antonio Lukich</t>
  </si>
  <si>
    <t>tt19885626</t>
  </si>
  <si>
    <t>Ricky Gervais: SuperNature</t>
  </si>
  <si>
    <t>https://www.imdb.com/title/tt19885626/</t>
  </si>
  <si>
    <t>John L. Spencer</t>
  </si>
  <si>
    <t>tt0203009</t>
  </si>
  <si>
    <t>Moulin Rouge!</t>
  </si>
  <si>
    <t>https://www.imdb.com/title/tt0203009/</t>
  </si>
  <si>
    <t>Drama, Musical, Romance</t>
  </si>
  <si>
    <t>tt0020530</t>
  </si>
  <si>
    <t>Un chien andalou</t>
  </si>
  <si>
    <t>https://www.imdb.com/title/tt0020530/</t>
  </si>
  <si>
    <t>Short, Fantasy, Horror</t>
  </si>
  <si>
    <t>Luis Buñuel</t>
  </si>
  <si>
    <t>tt2056771</t>
  </si>
  <si>
    <t>A Bigger Splash</t>
  </si>
  <si>
    <t>https://www.imdb.com/title/tt2056771/</t>
  </si>
  <si>
    <t>Drama, Music, Thriller</t>
  </si>
  <si>
    <t>tt2066051</t>
  </si>
  <si>
    <t>Rocketman</t>
  </si>
  <si>
    <t>https://www.imdb.com/title/tt2066051/</t>
  </si>
  <si>
    <t>Biography, Drama, Music, Musical</t>
  </si>
  <si>
    <t>Dexter Fletcher</t>
  </si>
  <si>
    <t>tt20696796</t>
  </si>
  <si>
    <t>Fortress Mariupol. Orest</t>
  </si>
  <si>
    <t>https://www.imdb.com/title/tt20696796/</t>
  </si>
  <si>
    <t>Yuliia Hontaruk</t>
  </si>
  <si>
    <t>tt2084970</t>
  </si>
  <si>
    <t>The Imitation Game</t>
  </si>
  <si>
    <t>https://www.imdb.com/title/tt2084970/</t>
  </si>
  <si>
    <t>Biography, Drama, Thriller, War</t>
  </si>
  <si>
    <t>Morten Tyldum</t>
  </si>
  <si>
    <t>tt0209144</t>
  </si>
  <si>
    <t>Memento</t>
  </si>
  <si>
    <t>https://www.imdb.com/title/tt0209144/</t>
  </si>
  <si>
    <t>tt2095825</t>
  </si>
  <si>
    <t>What She Wants</t>
  </si>
  <si>
    <t>https://www.imdb.com/title/tt2095825/</t>
  </si>
  <si>
    <t>Ruth Lingford</t>
  </si>
  <si>
    <t>tt2112999</t>
  </si>
  <si>
    <t>Louis C.K.: Live at the Beacon Theater</t>
  </si>
  <si>
    <t>https://www.imdb.com/title/tt2112999/</t>
  </si>
  <si>
    <t>tt0211387</t>
  </si>
  <si>
    <t>Gouttes d'eau sur pierres brûlantes</t>
  </si>
  <si>
    <t>https://www.imdb.com/title/tt0211387/</t>
  </si>
  <si>
    <t>tt0211915</t>
  </si>
  <si>
    <t>Le fabuleux destin d'Amélie Poulain</t>
  </si>
  <si>
    <t>https://www.imdb.com/title/tt0211915/</t>
  </si>
  <si>
    <t>Jean-Pierre Jeunet</t>
  </si>
  <si>
    <t>tt21232992</t>
  </si>
  <si>
    <t>Theater Camp</t>
  </si>
  <si>
    <t>https://www.imdb.com/title/tt21232992/</t>
  </si>
  <si>
    <t>Molly Gordon, Nick Lieberman</t>
  </si>
  <si>
    <t>tt0021375</t>
  </si>
  <si>
    <t>Entuziazm (Simfoniya Donbassa)</t>
  </si>
  <si>
    <t>https://www.imdb.com/title/tt0021375/</t>
  </si>
  <si>
    <t>tt2137702</t>
  </si>
  <si>
    <t>Kiyevskiye freski</t>
  </si>
  <si>
    <t>https://www.imdb.com/title/tt2137702/</t>
  </si>
  <si>
    <t>Sergei Parajanov</t>
  </si>
  <si>
    <t>tt0021571</t>
  </si>
  <si>
    <t>Zemlya</t>
  </si>
  <si>
    <t>https://www.imdb.com/title/tt0021571/</t>
  </si>
  <si>
    <t>tt21619422</t>
  </si>
  <si>
    <t>Remember the Smell of Mariupol</t>
  </si>
  <si>
    <t>https://www.imdb.com/title/tt21619422/</t>
  </si>
  <si>
    <t>tt21819228</t>
  </si>
  <si>
    <t>Stutz</t>
  </si>
  <si>
    <t>https://www.imdb.com/title/tt21819228/</t>
  </si>
  <si>
    <t>Jonah Hill</t>
  </si>
  <si>
    <t>tt21990148</t>
  </si>
  <si>
    <t>Peacekeepers. First Mission</t>
  </si>
  <si>
    <t>https://www.imdb.com/title/tt21990148/</t>
  </si>
  <si>
    <t>Valentyna Okhlopkova, Miroslav Gai</t>
  </si>
  <si>
    <t>tt21990240</t>
  </si>
  <si>
    <t>ADA</t>
  </si>
  <si>
    <t>https://www.imdb.com/title/tt21990240/</t>
  </si>
  <si>
    <t>Alina Matochkina</t>
  </si>
  <si>
    <t>tt22041854</t>
  </si>
  <si>
    <t>Priscilla</t>
  </si>
  <si>
    <t>https://www.imdb.com/title/tt22041854/</t>
  </si>
  <si>
    <t>Biography, Drama, Music, Romance</t>
  </si>
  <si>
    <t>tt22080044</t>
  </si>
  <si>
    <t>Golden leggings</t>
  </si>
  <si>
    <t>https://www.imdb.com/title/tt22080044/</t>
  </si>
  <si>
    <t>Arkadiy Nepytaliuk</t>
  </si>
  <si>
    <t>tt22090720</t>
  </si>
  <si>
    <t>Guests from Kharkiv</t>
  </si>
  <si>
    <t>https://www.imdb.com/title/tt22090720/</t>
  </si>
  <si>
    <t>Halyna Lavrynets</t>
  </si>
  <si>
    <t>tt2209418</t>
  </si>
  <si>
    <t>Before Midnight</t>
  </si>
  <si>
    <t>https://www.imdb.com/title/tt2209418/</t>
  </si>
  <si>
    <t>tt0022100</t>
  </si>
  <si>
    <t>M - Eine Stadt sucht einen Mörder</t>
  </si>
  <si>
    <t>https://www.imdb.com/title/tt0022100/</t>
  </si>
  <si>
    <t>Crime, Mystery, Thriller</t>
  </si>
  <si>
    <t>tt2235759</t>
  </si>
  <si>
    <t>The Great</t>
  </si>
  <si>
    <t>https://www.imdb.com/title/tt2235759/</t>
  </si>
  <si>
    <t>Biography, Comedy, Drama, History</t>
  </si>
  <si>
    <t>tt22643762</t>
  </si>
  <si>
    <t>Kharkiv Music Fest Did Happen</t>
  </si>
  <si>
    <t>https://www.imdb.com/title/tt22643762/</t>
  </si>
  <si>
    <t>Vyacheslav Turyanytsya</t>
  </si>
  <si>
    <t>tt0226590</t>
  </si>
  <si>
    <t>Vesnoy</t>
  </si>
  <si>
    <t>https://www.imdb.com/title/tt0226590/</t>
  </si>
  <si>
    <t>Mikhail Kaufman</t>
  </si>
  <si>
    <t>tt2267998</t>
  </si>
  <si>
    <t>Gone Girl</t>
  </si>
  <si>
    <t>https://www.imdb.com/title/tt2267998/</t>
  </si>
  <si>
    <t>tt22687790</t>
  </si>
  <si>
    <t>A Haunting in Venice</t>
  </si>
  <si>
    <t>https://www.imdb.com/title/tt22687790/</t>
  </si>
  <si>
    <t>Crime, Drama, Horror, Mystery, Thriller</t>
  </si>
  <si>
    <t>tt2278388</t>
  </si>
  <si>
    <t>The Grand Budapest Hotel</t>
  </si>
  <si>
    <t>https://www.imdb.com/title/tt2278388/</t>
  </si>
  <si>
    <t>Adventure, Comedy, Crime</t>
  </si>
  <si>
    <t>tt2278871</t>
  </si>
  <si>
    <t>La vie d'Adèle</t>
  </si>
  <si>
    <t>https://www.imdb.com/title/tt2278871/</t>
  </si>
  <si>
    <t>Abdellatif Kechiche</t>
  </si>
  <si>
    <t>tt2283362</t>
  </si>
  <si>
    <t>Jumanji: Welcome to the Jungle</t>
  </si>
  <si>
    <t>https://www.imdb.com/title/tt2283362/</t>
  </si>
  <si>
    <t>Action, Adventure, Comedy, Fantasy</t>
  </si>
  <si>
    <t>Jake Kasdan</t>
  </si>
  <si>
    <t>tt0230600</t>
  </si>
  <si>
    <t>The Others</t>
  </si>
  <si>
    <t>https://www.imdb.com/title/tt0230600/</t>
  </si>
  <si>
    <t>Alejandro Amenábar</t>
  </si>
  <si>
    <t>tt2316411</t>
  </si>
  <si>
    <t>Enemy</t>
  </si>
  <si>
    <t>https://www.imdb.com/title/tt2316411/</t>
  </si>
  <si>
    <t>tt2334873</t>
  </si>
  <si>
    <t>Blue Jasmine</t>
  </si>
  <si>
    <t>https://www.imdb.com/title/tt2334873/</t>
  </si>
  <si>
    <t>tt0023458</t>
  </si>
  <si>
    <t>Shanghai Express</t>
  </si>
  <si>
    <t>https://www.imdb.com/title/tt0023458/</t>
  </si>
  <si>
    <t>Adventure, Drama, Film-Noir, Romance</t>
  </si>
  <si>
    <t>Josef von Sternberg</t>
  </si>
  <si>
    <t>tt2347569</t>
  </si>
  <si>
    <t>Frances Ha</t>
  </si>
  <si>
    <t>https://www.imdb.com/title/tt2347569/</t>
  </si>
  <si>
    <t>Noah Baumbach</t>
  </si>
  <si>
    <t>tt2358891</t>
  </si>
  <si>
    <t>La grande bellezza</t>
  </si>
  <si>
    <t>https://www.imdb.com/title/tt2358891/</t>
  </si>
  <si>
    <t>tt0236640</t>
  </si>
  <si>
    <t>Prozac Nation</t>
  </si>
  <si>
    <t>https://www.imdb.com/title/tt0236640/</t>
  </si>
  <si>
    <t>Erik Skjoldbjærg</t>
  </si>
  <si>
    <t>tt2370248</t>
  </si>
  <si>
    <t>Short Term 12</t>
  </si>
  <si>
    <t>https://www.imdb.com/title/tt2370248/</t>
  </si>
  <si>
    <t>Destin Daniel Cretton</t>
  </si>
  <si>
    <t>tt23747634</t>
  </si>
  <si>
    <t>Not the Last Day</t>
  </si>
  <si>
    <t>https://www.imdb.com/title/tt23747634/</t>
  </si>
  <si>
    <t>Eugene Slupchuk</t>
  </si>
  <si>
    <t>tt2381111</t>
  </si>
  <si>
    <t>Brooklyn</t>
  </si>
  <si>
    <t>https://www.imdb.com/title/tt2381111/</t>
  </si>
  <si>
    <t>John Crowley</t>
  </si>
  <si>
    <t>tt2382009</t>
  </si>
  <si>
    <t>Nymphomaniac: Vol. II</t>
  </si>
  <si>
    <t>https://www.imdb.com/title/tt2382009/</t>
  </si>
  <si>
    <t>tt2398149</t>
  </si>
  <si>
    <t>J'accuse</t>
  </si>
  <si>
    <t>https://www.imdb.com/title/tt2398149/</t>
  </si>
  <si>
    <t>Roman Polanski</t>
  </si>
  <si>
    <t>tt2401878</t>
  </si>
  <si>
    <t>Anomalisa</t>
  </si>
  <si>
    <t>https://www.imdb.com/title/tt2401878/</t>
  </si>
  <si>
    <t>Animation, Comedy, Drama, Romance</t>
  </si>
  <si>
    <t>Charlie Kaufman, Duke Johnson</t>
  </si>
  <si>
    <t>tt2402927</t>
  </si>
  <si>
    <t>Carol</t>
  </si>
  <si>
    <t>https://www.imdb.com/title/tt2402927/</t>
  </si>
  <si>
    <t>tt24068064</t>
  </si>
  <si>
    <t>Reality</t>
  </si>
  <si>
    <t>https://www.imdb.com/title/tt24068064/</t>
  </si>
  <si>
    <t>Tina Satter</t>
  </si>
  <si>
    <t>tt24082438</t>
  </si>
  <si>
    <t>20 Days in Mariupol</t>
  </si>
  <si>
    <t>https://www.imdb.com/title/tt24082438/</t>
  </si>
  <si>
    <t>8.7</t>
  </si>
  <si>
    <t>Documentary, War</t>
  </si>
  <si>
    <t>Mstyslav Chernov</t>
  </si>
  <si>
    <t>tt0244109</t>
  </si>
  <si>
    <t>Sud narodov</t>
  </si>
  <si>
    <t>https://www.imdb.com/title/tt0244109/</t>
  </si>
  <si>
    <t>Roman Karmen, Elizaveta Svilova</t>
  </si>
  <si>
    <t>tt0245574</t>
  </si>
  <si>
    <t>Y tu mamá también</t>
  </si>
  <si>
    <t>https://www.imdb.com/title/tt0245574/</t>
  </si>
  <si>
    <t>Alfonso Cuarón</t>
  </si>
  <si>
    <t>tt0246578</t>
  </si>
  <si>
    <t>Donnie Darko</t>
  </si>
  <si>
    <t>https://www.imdb.com/title/tt0246578/</t>
  </si>
  <si>
    <t>Drama, Mystery, Sci-Fi, Thriller</t>
  </si>
  <si>
    <t>Richard Kelly</t>
  </si>
  <si>
    <t>tt2479800</t>
  </si>
  <si>
    <t>Palo Alto</t>
  </si>
  <si>
    <t>https://www.imdb.com/title/tt2479800/</t>
  </si>
  <si>
    <t>Gia Coppola</t>
  </si>
  <si>
    <t>tt2481498</t>
  </si>
  <si>
    <t>Extremely Wicked, Shockingly Evil and Vile</t>
  </si>
  <si>
    <t>https://www.imdb.com/title/tt2481498/</t>
  </si>
  <si>
    <t>Biography, Crime, Drama, Thriller</t>
  </si>
  <si>
    <t>Joe Berlinger</t>
  </si>
  <si>
    <t>tt0250494</t>
  </si>
  <si>
    <t>Legally Blonde</t>
  </si>
  <si>
    <t>https://www.imdb.com/title/tt0250494/</t>
  </si>
  <si>
    <t>Robert Luketic</t>
  </si>
  <si>
    <t>tt2511670</t>
  </si>
  <si>
    <t>La jalousie</t>
  </si>
  <si>
    <t>https://www.imdb.com/title/tt2511670/</t>
  </si>
  <si>
    <t>Philippe Garrel</t>
  </si>
  <si>
    <t>tt0253474</t>
  </si>
  <si>
    <t>The Pianist</t>
  </si>
  <si>
    <t>https://www.imdb.com/title/tt0253474/</t>
  </si>
  <si>
    <t>Biography, Drama, Music, War</t>
  </si>
  <si>
    <t>tt2543472</t>
  </si>
  <si>
    <t>Wonder</t>
  </si>
  <si>
    <t>https://www.imdb.com/title/tt2543472/</t>
  </si>
  <si>
    <t>Drama, Family</t>
  </si>
  <si>
    <t>Stephen Chbosky</t>
  </si>
  <si>
    <t>tt0254686</t>
  </si>
  <si>
    <t>La pianiste</t>
  </si>
  <si>
    <t>https://www.imdb.com/title/tt0254686/</t>
  </si>
  <si>
    <t>Michael Haneke</t>
  </si>
  <si>
    <t>tt2562232</t>
  </si>
  <si>
    <t>Birdman or (The Unexpected Virtue of Ignorance)</t>
  </si>
  <si>
    <t>https://www.imdb.com/title/tt2562232/</t>
  </si>
  <si>
    <t>Alejandro G. Iñárritu</t>
  </si>
  <si>
    <t>tt2582496</t>
  </si>
  <si>
    <t>Me and Earl and the Dying Girl</t>
  </si>
  <si>
    <t>https://www.imdb.com/title/tt2582496/</t>
  </si>
  <si>
    <t>Alfonso Gomez-Rejon</t>
  </si>
  <si>
    <t>tt2582782</t>
  </si>
  <si>
    <t>Hell or High Water</t>
  </si>
  <si>
    <t>https://www.imdb.com/title/tt2582782/</t>
  </si>
  <si>
    <t>Crime, Drama, Thriller, Western</t>
  </si>
  <si>
    <t>David Mackenzie</t>
  </si>
  <si>
    <t>tt2582802</t>
  </si>
  <si>
    <t>Whiplash</t>
  </si>
  <si>
    <t>https://www.imdb.com/title/tt2582802/</t>
  </si>
  <si>
    <t>tt2584384</t>
  </si>
  <si>
    <t>Jojo Rabbit</t>
  </si>
  <si>
    <t>https://www.imdb.com/title/tt2584384/</t>
  </si>
  <si>
    <t>Taika Waititi</t>
  </si>
  <si>
    <t>tt0025878</t>
  </si>
  <si>
    <t>The Thin Man</t>
  </si>
  <si>
    <t>https://www.imdb.com/title/tt0025878/</t>
  </si>
  <si>
    <t>Comedy, Crime, Mystery, Romance</t>
  </si>
  <si>
    <t>W.S. Van Dyke</t>
  </si>
  <si>
    <t>tt26229698</t>
  </si>
  <si>
    <t>It's a Date</t>
  </si>
  <si>
    <t>https://www.imdb.com/title/tt26229698/</t>
  </si>
  <si>
    <t>Nadia Parfan</t>
  </si>
  <si>
    <t>tt26370496</t>
  </si>
  <si>
    <t>Siori</t>
  </si>
  <si>
    <t>https://www.imdb.com/title/tt26370496/</t>
  </si>
  <si>
    <t>5.4</t>
  </si>
  <si>
    <t>Kiril Zharovski</t>
  </si>
  <si>
    <t>tt2640474</t>
  </si>
  <si>
    <t>La casa del fin de los tiempos</t>
  </si>
  <si>
    <t>https://www.imdb.com/title/tt2640474/</t>
  </si>
  <si>
    <t>Drama, Fantasy, Horror, Mystery, Sci-Fi, Thriller</t>
  </si>
  <si>
    <t>Alejandro Hidalgo</t>
  </si>
  <si>
    <t>tt0265666</t>
  </si>
  <si>
    <t>The Royal Tenenbaums</t>
  </si>
  <si>
    <t>https://www.imdb.com/title/tt0265666/</t>
  </si>
  <si>
    <t>tt26598133</t>
  </si>
  <si>
    <t>Louis C.K.: Back to the Garden</t>
  </si>
  <si>
    <t>https://www.imdb.com/title/tt26598133/</t>
  </si>
  <si>
    <t>tt26612950</t>
  </si>
  <si>
    <t>Das Lehrerzimmer</t>
  </si>
  <si>
    <t>https://www.imdb.com/title/tt26612950/</t>
  </si>
  <si>
    <t>Ilker Çatak</t>
  </si>
  <si>
    <t>tt0266697</t>
  </si>
  <si>
    <t>Kill Bill: Vol. 1</t>
  </si>
  <si>
    <t>https://www.imdb.com/title/tt0266697/</t>
  </si>
  <si>
    <t>tt2704998</t>
  </si>
  <si>
    <t>Game Night</t>
  </si>
  <si>
    <t>https://www.imdb.com/title/tt2704998/</t>
  </si>
  <si>
    <t>Action, Adventure, Comedy, Crime, Thriller</t>
  </si>
  <si>
    <t>Jonathan Goldstein, John Francis Daley</t>
  </si>
  <si>
    <t>tt2718492</t>
  </si>
  <si>
    <t>Ida</t>
  </si>
  <si>
    <t>https://www.imdb.com/title/tt2718492/</t>
  </si>
  <si>
    <t>Pawel Pawlikowski</t>
  </si>
  <si>
    <t>tt27194086</t>
  </si>
  <si>
    <t>Dovecotes of Kyiv</t>
  </si>
  <si>
    <t>https://www.imdb.com/title/tt27194086/</t>
  </si>
  <si>
    <t>Mikhail Volkov</t>
  </si>
  <si>
    <t>tt0274558</t>
  </si>
  <si>
    <t>The Hours</t>
  </si>
  <si>
    <t>https://www.imdb.com/title/tt0274558/</t>
  </si>
  <si>
    <t>Stephen Daldry</t>
  </si>
  <si>
    <t>tt0274812</t>
  </si>
  <si>
    <t>Secretary</t>
  </si>
  <si>
    <t>https://www.imdb.com/title/tt0274812/</t>
  </si>
  <si>
    <t>Steven Shainberg</t>
  </si>
  <si>
    <t>tt2752200</t>
  </si>
  <si>
    <t>Jeune et Jolie</t>
  </si>
  <si>
    <t>https://www.imdb.com/title/tt2752200/</t>
  </si>
  <si>
    <t>tt27611321</t>
  </si>
  <si>
    <t>As It Was</t>
  </si>
  <si>
    <t>https://www.imdb.com/title/tt27611321/</t>
  </si>
  <si>
    <t>Anastasiia Solonevych, Damian Kocur</t>
  </si>
  <si>
    <t>tt27656520</t>
  </si>
  <si>
    <t>Chornobyl 22</t>
  </si>
  <si>
    <t>https://www.imdb.com/title/tt27656520/</t>
  </si>
  <si>
    <t>tt27679665</t>
  </si>
  <si>
    <t>Frankie Boyle's Farewell to the Monarchy</t>
  </si>
  <si>
    <t>https://www.imdb.com/title/tt27679665/</t>
  </si>
  <si>
    <t>Ross Wilson</t>
  </si>
  <si>
    <t>tt0276919</t>
  </si>
  <si>
    <t>Dogville</t>
  </si>
  <si>
    <t>https://www.imdb.com/title/tt0276919/</t>
  </si>
  <si>
    <t>tt28240284</t>
  </si>
  <si>
    <t>To End All War: Oppenheimer &amp; the Atomic Bomb</t>
  </si>
  <si>
    <t>https://www.imdb.com/title/tt28240284/</t>
  </si>
  <si>
    <t>Christopher Cassel</t>
  </si>
  <si>
    <t>tt0283832</t>
  </si>
  <si>
    <t>8 femmes</t>
  </si>
  <si>
    <t>https://www.imdb.com/title/tt0283832/</t>
  </si>
  <si>
    <t>Comedy, Crime, Musical, Romance</t>
  </si>
  <si>
    <t>tt2870648</t>
  </si>
  <si>
    <t>Amy</t>
  </si>
  <si>
    <t>https://www.imdb.com/title/tt2870648/</t>
  </si>
  <si>
    <t>Documentary, Biography, Music</t>
  </si>
  <si>
    <t>Asif Kapadia</t>
  </si>
  <si>
    <t>tt2871482</t>
  </si>
  <si>
    <t>Khaytarma</t>
  </si>
  <si>
    <t>https://www.imdb.com/title/tt2871482/</t>
  </si>
  <si>
    <t>Akhtem Seitablaev</t>
  </si>
  <si>
    <t>tt2872462</t>
  </si>
  <si>
    <t>Mistress America</t>
  </si>
  <si>
    <t>https://www.imdb.com/title/tt2872462/</t>
  </si>
  <si>
    <t>tt2872718</t>
  </si>
  <si>
    <t>Nightcrawler</t>
  </si>
  <si>
    <t>https://www.imdb.com/title/tt2872718/</t>
  </si>
  <si>
    <t>Dan Gilroy</t>
  </si>
  <si>
    <t>tt28912758</t>
  </si>
  <si>
    <t>The Swan</t>
  </si>
  <si>
    <t>https://www.imdb.com/title/tt28912758/</t>
  </si>
  <si>
    <t>tt28912858</t>
  </si>
  <si>
    <t>The Rat Catcher</t>
  </si>
  <si>
    <t>https://www.imdb.com/title/tt28912858/</t>
  </si>
  <si>
    <t>tt28912885</t>
  </si>
  <si>
    <t>Poison</t>
  </si>
  <si>
    <t>https://www.imdb.com/title/tt28912885/</t>
  </si>
  <si>
    <t>Short, Comedy, Thriller</t>
  </si>
  <si>
    <t>tt0290673</t>
  </si>
  <si>
    <t>Irréversible</t>
  </si>
  <si>
    <t>https://www.imdb.com/title/tt0290673/</t>
  </si>
  <si>
    <t>tt2932536</t>
  </si>
  <si>
    <t>47 Meters Down</t>
  </si>
  <si>
    <t>https://www.imdb.com/title/tt2932536/</t>
  </si>
  <si>
    <t>5.6</t>
  </si>
  <si>
    <t>Johannes Roberts</t>
  </si>
  <si>
    <t>tt29420686</t>
  </si>
  <si>
    <t>https://www.imdb.com/title/tt29420686/</t>
  </si>
  <si>
    <t>Comedy, History</t>
  </si>
  <si>
    <t>tt2948372</t>
  </si>
  <si>
    <t>Soul</t>
  </si>
  <si>
    <t>https://www.imdb.com/title/tt2948372/</t>
  </si>
  <si>
    <t>Animation, Adventure, Comedy, Drama, Family, Fantasy, Music</t>
  </si>
  <si>
    <t>Pete Docter, Kemp Powers</t>
  </si>
  <si>
    <t>tt2953762</t>
  </si>
  <si>
    <t>Já, Olga Hepnarová</t>
  </si>
  <si>
    <t>https://www.imdb.com/title/tt2953762/</t>
  </si>
  <si>
    <t>Tomás Weinreb, Petr Kazda</t>
  </si>
  <si>
    <t>tt29579783</t>
  </si>
  <si>
    <t>Najkrajsí kút v sírom svete</t>
  </si>
  <si>
    <t>https://www.imdb.com/title/tt29579783/</t>
  </si>
  <si>
    <t>Robert Mihály</t>
  </si>
  <si>
    <t>tt29579823</t>
  </si>
  <si>
    <t>Homeward</t>
  </si>
  <si>
    <t>https://www.imdb.com/title/tt29579823/</t>
  </si>
  <si>
    <t>Olexi Chubun</t>
  </si>
  <si>
    <t>tt29579830</t>
  </si>
  <si>
    <t>Anita, gomshodeh dar akhbar</t>
  </si>
  <si>
    <t>https://www.imdb.com/title/tt29579830/</t>
  </si>
  <si>
    <t>Behzad Nalbandi</t>
  </si>
  <si>
    <t>tt29579836</t>
  </si>
  <si>
    <t>Pitch Black</t>
  </si>
  <si>
    <t>https://www.imdb.com/title/tt29579836/</t>
  </si>
  <si>
    <t>Guillym Davenport</t>
  </si>
  <si>
    <t>tt29579840</t>
  </si>
  <si>
    <t>Amour microscopique</t>
  </si>
  <si>
    <t>https://www.imdb.com/title/tt29579840/</t>
  </si>
  <si>
    <t>Emilien Dubuc</t>
  </si>
  <si>
    <t>tt0297884</t>
  </si>
  <si>
    <t>Far from Heaven</t>
  </si>
  <si>
    <t>https://www.imdb.com/title/tt0297884/</t>
  </si>
  <si>
    <t>tt0299658</t>
  </si>
  <si>
    <t>Chicago</t>
  </si>
  <si>
    <t>https://www.imdb.com/title/tt0299658/</t>
  </si>
  <si>
    <t>Comedy, Crime, Musical</t>
  </si>
  <si>
    <t>Rob Marshall</t>
  </si>
  <si>
    <t>tt0301357</t>
  </si>
  <si>
    <t>Good Bye Lenin!</t>
  </si>
  <si>
    <t>https://www.imdb.com/title/tt0301357/</t>
  </si>
  <si>
    <t>Wolfgang Becker</t>
  </si>
  <si>
    <t>tt3020758</t>
  </si>
  <si>
    <t>Stozhary</t>
  </si>
  <si>
    <t>https://www.imdb.com/title/tt3020758/</t>
  </si>
  <si>
    <t>Ivan Kavaleridze</t>
  </si>
  <si>
    <t>tt0304415</t>
  </si>
  <si>
    <t>Mona Lisa Smile</t>
  </si>
  <si>
    <t>https://www.imdb.com/title/tt0304415/</t>
  </si>
  <si>
    <t>Mike Newell</t>
  </si>
  <si>
    <t>tt0309593</t>
  </si>
  <si>
    <t>Final Destination 2</t>
  </si>
  <si>
    <t>https://www.imdb.com/title/tt0309593/</t>
  </si>
  <si>
    <t>tt0309987</t>
  </si>
  <si>
    <t>The Dreamers</t>
  </si>
  <si>
    <t>https://www.imdb.com/title/tt0309987/</t>
  </si>
  <si>
    <t>Bernardo Bertolucci</t>
  </si>
  <si>
    <t>tt3101130</t>
  </si>
  <si>
    <t>Tan atqanda qaytmaq</t>
  </si>
  <si>
    <t>https://www.imdb.com/title/tt3101130/</t>
  </si>
  <si>
    <t>Short, Drama, Family</t>
  </si>
  <si>
    <t>Nariman Aliev</t>
  </si>
  <si>
    <t>tt0031381</t>
  </si>
  <si>
    <t>Gone with the Wind</t>
  </si>
  <si>
    <t>https://www.imdb.com/title/tt0031381/</t>
  </si>
  <si>
    <t>Drama, Romance, War</t>
  </si>
  <si>
    <t>Sam Wood, George Cukor, Victor Fleming</t>
  </si>
  <si>
    <t>tt3210258</t>
  </si>
  <si>
    <t>Bo Burnham: what.</t>
  </si>
  <si>
    <t>https://www.imdb.com/title/tt3210258/</t>
  </si>
  <si>
    <t>Comedy, Music</t>
  </si>
  <si>
    <t>Christopher Storer, Bo Burnham</t>
  </si>
  <si>
    <t>tt3228774</t>
  </si>
  <si>
    <t>Cruella</t>
  </si>
  <si>
    <t>https://www.imdb.com/title/tt3228774/</t>
  </si>
  <si>
    <t>Adventure, Comedy, Crime, Drama</t>
  </si>
  <si>
    <t>Craig Gillespie</t>
  </si>
  <si>
    <t>tt0323279</t>
  </si>
  <si>
    <t>Molytva za hetmana Mazepu</t>
  </si>
  <si>
    <t>https://www.imdb.com/title/tt0323279/</t>
  </si>
  <si>
    <t>tt3235888</t>
  </si>
  <si>
    <t>It Follows</t>
  </si>
  <si>
    <t>https://www.imdb.com/title/tt3235888/</t>
  </si>
  <si>
    <t>David Robert Mitchell</t>
  </si>
  <si>
    <t>tt0032553</t>
  </si>
  <si>
    <t>The Great Dictator</t>
  </si>
  <si>
    <t>https://www.imdb.com/title/tt0032553/</t>
  </si>
  <si>
    <t>Charles Chaplin</t>
  </si>
  <si>
    <t>tt3281548</t>
  </si>
  <si>
    <t>Little Women</t>
  </si>
  <si>
    <t>https://www.imdb.com/title/tt3281548/</t>
  </si>
  <si>
    <t>tt0032904</t>
  </si>
  <si>
    <t>The Philadelphia Story</t>
  </si>
  <si>
    <t>https://www.imdb.com/title/tt0032904/</t>
  </si>
  <si>
    <t>George Cukor</t>
  </si>
  <si>
    <t>tt0332280</t>
  </si>
  <si>
    <t>The Notebook</t>
  </si>
  <si>
    <t>https://www.imdb.com/title/tt0332280/</t>
  </si>
  <si>
    <t>Nick Cassavetes</t>
  </si>
  <si>
    <t>tt0335266</t>
  </si>
  <si>
    <t>Lost in Translation</t>
  </si>
  <si>
    <t>https://www.imdb.com/title/tt0335266/</t>
  </si>
  <si>
    <t>tt3376850</t>
  </si>
  <si>
    <t>Richard Herring: Hitler Moustache</t>
  </si>
  <si>
    <t>https://www.imdb.com/title/tt3376850/</t>
  </si>
  <si>
    <t>Chris Evans</t>
  </si>
  <si>
    <t>tt0338013</t>
  </si>
  <si>
    <t>Eternal Sunshine of the Spotless Mind</t>
  </si>
  <si>
    <t>https://www.imdb.com/title/tt0338013/</t>
  </si>
  <si>
    <t>Michel Gondry</t>
  </si>
  <si>
    <t>tt0338751</t>
  </si>
  <si>
    <t>The Aviator</t>
  </si>
  <si>
    <t>https://www.imdb.com/title/tt0338751/</t>
  </si>
  <si>
    <t>tt3402236</t>
  </si>
  <si>
    <t>Murder on the Orient Express</t>
  </si>
  <si>
    <t>https://www.imdb.com/title/tt3402236/</t>
  </si>
  <si>
    <t>Crime, Drama, Mystery</t>
  </si>
  <si>
    <t>tt3416536</t>
  </si>
  <si>
    <t>Hot Summer Nights</t>
  </si>
  <si>
    <t>https://www.imdb.com/title/tt3416536/</t>
  </si>
  <si>
    <t>Elijah Bynum</t>
  </si>
  <si>
    <t>tt3416742</t>
  </si>
  <si>
    <t>What We Do in the Shadows</t>
  </si>
  <si>
    <t>https://www.imdb.com/title/tt3416742/</t>
  </si>
  <si>
    <t>Comedy, Horror</t>
  </si>
  <si>
    <t>Taika Waititi, Jemaine Clement</t>
  </si>
  <si>
    <t>tt0034583</t>
  </si>
  <si>
    <t>Casablanca</t>
  </si>
  <si>
    <t>https://www.imdb.com/title/tt0034583/</t>
  </si>
  <si>
    <t>Michael Curtiz</t>
  </si>
  <si>
    <t>tt3460252</t>
  </si>
  <si>
    <t>The Hateful Eight</t>
  </si>
  <si>
    <t>https://www.imdb.com/title/tt3460252/</t>
  </si>
  <si>
    <t>Crime, Drama, Mystery, Thriller, Western</t>
  </si>
  <si>
    <t>tt3464902</t>
  </si>
  <si>
    <t>The Lobster</t>
  </si>
  <si>
    <t>https://www.imdb.com/title/tt3464902/</t>
  </si>
  <si>
    <t>Drama, Romance, Sci-Fi, Thriller</t>
  </si>
  <si>
    <t>Yorgos Lanthimos</t>
  </si>
  <si>
    <t>tt3511734</t>
  </si>
  <si>
    <t>Khlib</t>
  </si>
  <si>
    <t>https://www.imdb.com/title/tt3511734/</t>
  </si>
  <si>
    <t>Mykola Shpykovskyi</t>
  </si>
  <si>
    <t>tt3544112</t>
  </si>
  <si>
    <t>Sing Street</t>
  </si>
  <si>
    <t>https://www.imdb.com/title/tt3544112/</t>
  </si>
  <si>
    <t>Comedy, Drama, Music, Romance</t>
  </si>
  <si>
    <t>John Carney</t>
  </si>
  <si>
    <t>tt3553976</t>
  </si>
  <si>
    <t>Captain Fantastic</t>
  </si>
  <si>
    <t>https://www.imdb.com/title/tt3553976/</t>
  </si>
  <si>
    <t>Matt Ross</t>
  </si>
  <si>
    <t>tt0356910</t>
  </si>
  <si>
    <t>Mr. &amp; Mrs. Smith</t>
  </si>
  <si>
    <t>https://www.imdb.com/title/tt0356910/</t>
  </si>
  <si>
    <t>Action, Comedy, Crime, Thriller</t>
  </si>
  <si>
    <t>Doug Liman</t>
  </si>
  <si>
    <t>tt3581652</t>
  </si>
  <si>
    <t>West Side Story</t>
  </si>
  <si>
    <t>https://www.imdb.com/title/tt3581652/</t>
  </si>
  <si>
    <t>Crime, Drama, Musical, Romance</t>
  </si>
  <si>
    <t>tt3581932</t>
  </si>
  <si>
    <t>And Then There Were None</t>
  </si>
  <si>
    <t>https://www.imdb.com/title/tt3581932/</t>
  </si>
  <si>
    <t>tt0359950</t>
  </si>
  <si>
    <t>The Secret Life of Walter Mitty</t>
  </si>
  <si>
    <t>https://www.imdb.com/title/tt0359950/</t>
  </si>
  <si>
    <t>Adventure, Comedy, Drama, Fantasy, Romance</t>
  </si>
  <si>
    <t>Ben Stiller</t>
  </si>
  <si>
    <t>tt0036154</t>
  </si>
  <si>
    <t>Meshes of the Afternoon</t>
  </si>
  <si>
    <t>https://www.imdb.com/title/tt0036154/</t>
  </si>
  <si>
    <t>Short, Fantasy, Mystery</t>
  </si>
  <si>
    <t>tt0361748</t>
  </si>
  <si>
    <t>Inglourious Basterds</t>
  </si>
  <si>
    <t>https://www.imdb.com/title/tt0361748/</t>
  </si>
  <si>
    <t>tt3622110</t>
  </si>
  <si>
    <t>Don't Knock Twice</t>
  </si>
  <si>
    <t>https://www.imdb.com/title/tt3622110/</t>
  </si>
  <si>
    <t>Caradog W. James</t>
  </si>
  <si>
    <t>tt0363163</t>
  </si>
  <si>
    <t>Der Untergang</t>
  </si>
  <si>
    <t>https://www.imdb.com/title/tt0363163/</t>
  </si>
  <si>
    <t>Biography, Drama, History, War</t>
  </si>
  <si>
    <t>Oliver Hirschbiegel</t>
  </si>
  <si>
    <t>tt3654964</t>
  </si>
  <si>
    <t>Art and Craft</t>
  </si>
  <si>
    <t>https://www.imdb.com/title/tt3654964/</t>
  </si>
  <si>
    <t>Sam Cullman, Mark Becker, Jennifer Grausman</t>
  </si>
  <si>
    <t>tt3704428</t>
  </si>
  <si>
    <t>Elvis</t>
  </si>
  <si>
    <t>https://www.imdb.com/title/tt3704428/</t>
  </si>
  <si>
    <t>tt3716530</t>
  </si>
  <si>
    <t>Elle</t>
  </si>
  <si>
    <t>https://www.imdb.com/title/tt3716530/</t>
  </si>
  <si>
    <t>tt3721936</t>
  </si>
  <si>
    <t>American Honey</t>
  </si>
  <si>
    <t>https://www.imdb.com/title/tt3721936/</t>
  </si>
  <si>
    <t>Adventure, Drama, Romance</t>
  </si>
  <si>
    <t>Andrea Arnold</t>
  </si>
  <si>
    <t>tt0374900</t>
  </si>
  <si>
    <t>Napoleon Dynamite</t>
  </si>
  <si>
    <t>https://www.imdb.com/title/tt0374900/</t>
  </si>
  <si>
    <t>Jared Hess</t>
  </si>
  <si>
    <t>tt0376541</t>
  </si>
  <si>
    <t>Closer</t>
  </si>
  <si>
    <t>https://www.imdb.com/title/tt0376541/</t>
  </si>
  <si>
    <t>Mike Nichols</t>
  </si>
  <si>
    <t>tt3774694</t>
  </si>
  <si>
    <t>Love</t>
  </si>
  <si>
    <t>https://www.imdb.com/title/tt3774694/</t>
  </si>
  <si>
    <t>tt3781118</t>
  </si>
  <si>
    <t>Nosorih</t>
  </si>
  <si>
    <t>https://www.imdb.com/title/tt3781118/</t>
  </si>
  <si>
    <t>Action, Crime, Drama</t>
  </si>
  <si>
    <t>Oleh Sentsov</t>
  </si>
  <si>
    <t>tt0378194</t>
  </si>
  <si>
    <t>Kill Bill: Vol. 2</t>
  </si>
  <si>
    <t>https://www.imdb.com/title/tt0378194/</t>
  </si>
  <si>
    <t>tt3783958</t>
  </si>
  <si>
    <t>La La Land</t>
  </si>
  <si>
    <t>https://www.imdb.com/title/tt3783958/</t>
  </si>
  <si>
    <t>Comedy, Drama, Music, Musical, Romance</t>
  </si>
  <si>
    <t>tt3799694</t>
  </si>
  <si>
    <t>The Nice Guys</t>
  </si>
  <si>
    <t>https://www.imdb.com/title/tt3799694/</t>
  </si>
  <si>
    <t>Shane Black</t>
  </si>
  <si>
    <t>tt0381681</t>
  </si>
  <si>
    <t>Before Sunset</t>
  </si>
  <si>
    <t>https://www.imdb.com/title/tt0381681/</t>
  </si>
  <si>
    <t>tt3824458</t>
  </si>
  <si>
    <t>Tangerine</t>
  </si>
  <si>
    <t>https://www.imdb.com/title/tt3824458/</t>
  </si>
  <si>
    <t>Comedy, Crime, Drama</t>
  </si>
  <si>
    <t>tt0382932</t>
  </si>
  <si>
    <t>Ratatouille</t>
  </si>
  <si>
    <t>https://www.imdb.com/title/tt0382932/</t>
  </si>
  <si>
    <t>Animation, Adventure, Comedy, Family, Fantasy</t>
  </si>
  <si>
    <t>Brad Bird, Jan Pinkava</t>
  </si>
  <si>
    <t>tt0038650</t>
  </si>
  <si>
    <t>It's a Wonderful Life</t>
  </si>
  <si>
    <t>https://www.imdb.com/title/tt0038650/</t>
  </si>
  <si>
    <t>Drama, Family, Fantasy, Romance</t>
  </si>
  <si>
    <t>Frank Capra</t>
  </si>
  <si>
    <t>tt3877674</t>
  </si>
  <si>
    <t>Mænd &amp; høns</t>
  </si>
  <si>
    <t>https://www.imdb.com/title/tt3877674/</t>
  </si>
  <si>
    <t>Comedy, Drama, Mystery, Sci-Fi</t>
  </si>
  <si>
    <t>Anders Thomas Jensen</t>
  </si>
  <si>
    <t>tt0389557</t>
  </si>
  <si>
    <t>Zwartboek</t>
  </si>
  <si>
    <t>https://www.imdb.com/title/tt0389557/</t>
  </si>
  <si>
    <t>Drama, Thriller, War</t>
  </si>
  <si>
    <t>tt0390384</t>
  </si>
  <si>
    <t>Primer</t>
  </si>
  <si>
    <t>https://www.imdb.com/title/tt0390384/</t>
  </si>
  <si>
    <t>Drama, Sci-Fi, Thriller</t>
  </si>
  <si>
    <t>Shane Carruth</t>
  </si>
  <si>
    <t>tt3906082</t>
  </si>
  <si>
    <t>Mary Shelley</t>
  </si>
  <si>
    <t>https://www.imdb.com/title/tt3906082/</t>
  </si>
  <si>
    <t>Biography, Drama, History, Romance</t>
  </si>
  <si>
    <t>Haifaa Al-Mansour</t>
  </si>
  <si>
    <t>tt0039628</t>
  </si>
  <si>
    <t>Miracle on 34th Street</t>
  </si>
  <si>
    <t>https://www.imdb.com/title/tt0039628/</t>
  </si>
  <si>
    <t>Comedy, Drama, Family</t>
  </si>
  <si>
    <t>George Seaton</t>
  </si>
  <si>
    <t>tt3966404</t>
  </si>
  <si>
    <t>Mustang</t>
  </si>
  <si>
    <t>https://www.imdb.com/title/tt3966404/</t>
  </si>
  <si>
    <t>Deniz Gamze Ergüven</t>
  </si>
  <si>
    <t>tt4016934</t>
  </si>
  <si>
    <t>Ah-ga-ssi</t>
  </si>
  <si>
    <t>https://www.imdb.com/title/tt4016934/</t>
  </si>
  <si>
    <t>Drama, Romance, Thriller</t>
  </si>
  <si>
    <t>tt4034228</t>
  </si>
  <si>
    <t>Manchester by the Sea</t>
  </si>
  <si>
    <t>https://www.imdb.com/title/tt4034228/</t>
  </si>
  <si>
    <t>Kenneth Lonergan</t>
  </si>
  <si>
    <t>tt0404030</t>
  </si>
  <si>
    <t>Everything Is Illuminated</t>
  </si>
  <si>
    <t>https://www.imdb.com/title/tt0404030/</t>
  </si>
  <si>
    <t>Liev Schreiber</t>
  </si>
  <si>
    <t>tt0040725</t>
  </si>
  <si>
    <t>The Red Shoes</t>
  </si>
  <si>
    <t>https://www.imdb.com/title/tt0040725/</t>
  </si>
  <si>
    <t>Drama, Music, Romance</t>
  </si>
  <si>
    <t>Michael Powell, Emeric Pressburger</t>
  </si>
  <si>
    <t>tt0407827</t>
  </si>
  <si>
    <t>The Globalisation Tapes</t>
  </si>
  <si>
    <t>https://www.imdb.com/title/tt0407827/</t>
  </si>
  <si>
    <t>Muntoha, Anar, Basir, Mirza, Misnan, Christine Cynn, Karman, Joshua Oppenheimer, Hayati, Jumiati, Erman, Kirman</t>
  </si>
  <si>
    <t>tt0407887</t>
  </si>
  <si>
    <t>The Departed</t>
  </si>
  <si>
    <t>https://www.imdb.com/title/tt0407887/</t>
  </si>
  <si>
    <t>tt0408120</t>
  </si>
  <si>
    <t>Príbehy obycejného sílenství</t>
  </si>
  <si>
    <t>https://www.imdb.com/title/tt0408120/</t>
  </si>
  <si>
    <t>Petr Zelenka</t>
  </si>
  <si>
    <t>tt4085618</t>
  </si>
  <si>
    <t>Toloka</t>
  </si>
  <si>
    <t>https://www.imdb.com/title/tt4085618/</t>
  </si>
  <si>
    <t>tt0412019</t>
  </si>
  <si>
    <t>Broken Flowers</t>
  </si>
  <si>
    <t>https://www.imdb.com/title/tt0412019/</t>
  </si>
  <si>
    <t>Comedy, Drama, Mystery, Romance</t>
  </si>
  <si>
    <t>tt0414387</t>
  </si>
  <si>
    <t>Pride &amp; Prejudice</t>
  </si>
  <si>
    <t>https://www.imdb.com/title/tt0414387/</t>
  </si>
  <si>
    <t>Joe Wright</t>
  </si>
  <si>
    <t>tt0414982</t>
  </si>
  <si>
    <t>Final Destination 3</t>
  </si>
  <si>
    <t>https://www.imdb.com/title/tt0414982/</t>
  </si>
  <si>
    <t>tt0414993</t>
  </si>
  <si>
    <t>The Fountain</t>
  </si>
  <si>
    <t>https://www.imdb.com/title/tt0414993/</t>
  </si>
  <si>
    <t>Drama, Mystery, Romance, Sci-Fi</t>
  </si>
  <si>
    <t>tt4158110</t>
  </si>
  <si>
    <t>Mr. Robot</t>
  </si>
  <si>
    <t>https://www.imdb.com/title/tt4158110/</t>
  </si>
  <si>
    <t>tt0000417</t>
  </si>
  <si>
    <t>Le voyage dans la lune</t>
  </si>
  <si>
    <t>https://www.imdb.com/title/tt0000417/</t>
  </si>
  <si>
    <t>Short, Action, Adventure, Comedy, Fantasy, Sci-Fi</t>
  </si>
  <si>
    <t>Georges Méliès</t>
  </si>
  <si>
    <t>tt0417189</t>
  </si>
  <si>
    <t>Le temps qui reste</t>
  </si>
  <si>
    <t>https://www.imdb.com/title/tt0417189/</t>
  </si>
  <si>
    <t>tt4176826</t>
  </si>
  <si>
    <t>Er ist wieder da</t>
  </si>
  <si>
    <t>https://www.imdb.com/title/tt4176826/</t>
  </si>
  <si>
    <t>David Wnendt</t>
  </si>
  <si>
    <t>tt0421082</t>
  </si>
  <si>
    <t>Control</t>
  </si>
  <si>
    <t>https://www.imdb.com/title/tt0421082/</t>
  </si>
  <si>
    <t>Anton Corbijn</t>
  </si>
  <si>
    <t>tt0421715</t>
  </si>
  <si>
    <t>The Curious Case of Benjamin Button</t>
  </si>
  <si>
    <t>https://www.imdb.com/title/tt0421715/</t>
  </si>
  <si>
    <t>tt0422720</t>
  </si>
  <si>
    <t>Marie Antoinette</t>
  </si>
  <si>
    <t>https://www.imdb.com/title/tt0422720/</t>
  </si>
  <si>
    <t>tt4263482</t>
  </si>
  <si>
    <t>The VVitch: A New-England Folktale</t>
  </si>
  <si>
    <t>https://www.imdb.com/title/tt4263482/</t>
  </si>
  <si>
    <t>Robert Eggers</t>
  </si>
  <si>
    <t>tt4273800</t>
  </si>
  <si>
    <t>The Good Nurse</t>
  </si>
  <si>
    <t>https://www.imdb.com/title/tt4273800/</t>
  </si>
  <si>
    <t>Tobias Lindholm</t>
  </si>
  <si>
    <t>tt0427944</t>
  </si>
  <si>
    <t>Thank You for Smoking</t>
  </si>
  <si>
    <t>https://www.imdb.com/title/tt0427944/</t>
  </si>
  <si>
    <t>Jason Reitman</t>
  </si>
  <si>
    <t>tt0043014</t>
  </si>
  <si>
    <t>Sunset Blvd.</t>
  </si>
  <si>
    <t>https://www.imdb.com/title/tt0043014/</t>
  </si>
  <si>
    <t>Drama, Film-Noir</t>
  </si>
  <si>
    <t>Billy Wilder</t>
  </si>
  <si>
    <t>tt0432283</t>
  </si>
  <si>
    <t>Fantastic Mr. Fox</t>
  </si>
  <si>
    <t>https://www.imdb.com/title/tt0432283/</t>
  </si>
  <si>
    <t>Animation, Adventure, Comedy, Crime, Drama, Family</t>
  </si>
  <si>
    <t>tt4326444</t>
  </si>
  <si>
    <t>Julieta</t>
  </si>
  <si>
    <t>https://www.imdb.com/title/tt4326444/</t>
  </si>
  <si>
    <t>tt4364194</t>
  </si>
  <si>
    <t>The Peanut Butter Falcon</t>
  </si>
  <si>
    <t>https://www.imdb.com/title/tt4364194/</t>
  </si>
  <si>
    <t>Adventure, Comedy, Drama</t>
  </si>
  <si>
    <t>Tyler Nilson, Michael Schwartz</t>
  </si>
  <si>
    <t>tt4368814</t>
  </si>
  <si>
    <t>Louis C.K.: Live at the Comedy Store</t>
  </si>
  <si>
    <t>https://www.imdb.com/title/tt4368814/</t>
  </si>
  <si>
    <t>tt4378376</t>
  </si>
  <si>
    <t>Babylon Berlin</t>
  </si>
  <si>
    <t>https://www.imdb.com/title/tt4378376/</t>
  </si>
  <si>
    <t>tt4378628</t>
  </si>
  <si>
    <t>Westwood: Punk, Icon, Activist</t>
  </si>
  <si>
    <t>https://www.imdb.com/title/tt4378628/</t>
  </si>
  <si>
    <t>Documentary, Biography, History</t>
  </si>
  <si>
    <t>Lorna Tucker</t>
  </si>
  <si>
    <t>tt4385888</t>
  </si>
  <si>
    <t>20th Century Women</t>
  </si>
  <si>
    <t>https://www.imdb.com/title/tt4385888/</t>
  </si>
  <si>
    <t>tt0443453</t>
  </si>
  <si>
    <t>Borat: Cultural Learnings of America for Make Benefit Glorious Nation of Kazakhstan</t>
  </si>
  <si>
    <t>https://www.imdb.com/title/tt0443453/</t>
  </si>
  <si>
    <t>tt0443706</t>
  </si>
  <si>
    <t>Zodiac</t>
  </si>
  <si>
    <t>https://www.imdb.com/title/tt0443706/</t>
  </si>
  <si>
    <t>tt0443844</t>
  </si>
  <si>
    <t>Les amants réguliers</t>
  </si>
  <si>
    <t>https://www.imdb.com/title/tt0443844/</t>
  </si>
  <si>
    <t>tt0446029</t>
  </si>
  <si>
    <t>Scott Pilgrim vs. the World</t>
  </si>
  <si>
    <t>https://www.imdb.com/title/tt0446029/</t>
  </si>
  <si>
    <t>Action, Comedy, Fantasy, Romance</t>
  </si>
  <si>
    <t>Edgar Wright</t>
  </si>
  <si>
    <t>tt0449059</t>
  </si>
  <si>
    <t>Little Miss Sunshine</t>
  </si>
  <si>
    <t>https://www.imdb.com/title/tt0449059/</t>
  </si>
  <si>
    <t>Jonathan Dayton, Valerie Faris</t>
  </si>
  <si>
    <t>tt0450188</t>
  </si>
  <si>
    <t>La Môme</t>
  </si>
  <si>
    <t>https://www.imdb.com/title/tt0450188/</t>
  </si>
  <si>
    <t>Olivier Dahan</t>
  </si>
  <si>
    <t>tt4513674</t>
  </si>
  <si>
    <t>Café Society</t>
  </si>
  <si>
    <t>https://www.imdb.com/title/tt4513674/</t>
  </si>
  <si>
    <t>tt4550098</t>
  </si>
  <si>
    <t>Nocturnal Animals</t>
  </si>
  <si>
    <t>https://www.imdb.com/title/tt4550098/</t>
  </si>
  <si>
    <t>Tom Ford</t>
  </si>
  <si>
    <t>tt0457430</t>
  </si>
  <si>
    <t>El laberinto del fauno</t>
  </si>
  <si>
    <t>https://www.imdb.com/title/tt0457430/</t>
  </si>
  <si>
    <t>Drama, Fantasy, War</t>
  </si>
  <si>
    <t>Guillermo del Toro</t>
  </si>
  <si>
    <t>tt4574334</t>
  </si>
  <si>
    <t>Stranger Things</t>
  </si>
  <si>
    <t>https://www.imdb.com/title/tt4574334/</t>
  </si>
  <si>
    <t>tt0045810</t>
  </si>
  <si>
    <t>Gentlemen Prefer Blondes</t>
  </si>
  <si>
    <t>https://www.imdb.com/title/tt0045810/</t>
  </si>
  <si>
    <t>Comedy, Musical, Romance</t>
  </si>
  <si>
    <t>Howard Hawks</t>
  </si>
  <si>
    <t>tt0046250</t>
  </si>
  <si>
    <t>Roman Holiday</t>
  </si>
  <si>
    <t>https://www.imdb.com/title/tt0046250/</t>
  </si>
  <si>
    <t>William Wyler</t>
  </si>
  <si>
    <t>tt0046303</t>
  </si>
  <si>
    <t>Shane</t>
  </si>
  <si>
    <t>https://www.imdb.com/title/tt0046303/</t>
  </si>
  <si>
    <t>George Stevens</t>
  </si>
  <si>
    <t>tt4645368</t>
  </si>
  <si>
    <t>Juste la fin du monde</t>
  </si>
  <si>
    <t>https://www.imdb.com/title/tt4645368/</t>
  </si>
  <si>
    <t>tt4686844</t>
  </si>
  <si>
    <t>The Death of Stalin</t>
  </si>
  <si>
    <t>https://www.imdb.com/title/tt4686844/</t>
  </si>
  <si>
    <t>Armando Iannucci</t>
  </si>
  <si>
    <t>tt4694544</t>
  </si>
  <si>
    <t>Once Upon a Time in Venice</t>
  </si>
  <si>
    <t>https://www.imdb.com/title/tt4694544/</t>
  </si>
  <si>
    <t>5.3</t>
  </si>
  <si>
    <t>Action, Adventure, Comedy, Crime, Mystery</t>
  </si>
  <si>
    <t>Mark Cullen</t>
  </si>
  <si>
    <t>tt4698684</t>
  </si>
  <si>
    <t>Hunt for the Wilderpeople</t>
  </si>
  <si>
    <t>https://www.imdb.com/title/tt4698684/</t>
  </si>
  <si>
    <t>tt0470055</t>
  </si>
  <si>
    <t>Open Water 2: Adrift</t>
  </si>
  <si>
    <t>https://www.imdb.com/title/tt0470055/</t>
  </si>
  <si>
    <t>5.2</t>
  </si>
  <si>
    <t>Adventure, Drama, Horror, Thriller</t>
  </si>
  <si>
    <t>Hans Horn</t>
  </si>
  <si>
    <t>tt4729430</t>
  </si>
  <si>
    <t>Klaus</t>
  </si>
  <si>
    <t>https://www.imdb.com/title/tt4729430/</t>
  </si>
  <si>
    <t>Carlos Martínez López, Sergio Pablos</t>
  </si>
  <si>
    <t>tt4731136</t>
  </si>
  <si>
    <t>A Cure for Wellness</t>
  </si>
  <si>
    <t>https://www.imdb.com/title/tt4731136/</t>
  </si>
  <si>
    <t>Gore Verbinski</t>
  </si>
  <si>
    <t>tt0047396</t>
  </si>
  <si>
    <t>Rear Window</t>
  </si>
  <si>
    <t>https://www.imdb.com/title/tt0047396/</t>
  </si>
  <si>
    <t>Alfred Hitchcock</t>
  </si>
  <si>
    <t>tt0482571</t>
  </si>
  <si>
    <t>The Prestige</t>
  </si>
  <si>
    <t>https://www.imdb.com/title/tt0482571/</t>
  </si>
  <si>
    <t>tt4846232</t>
  </si>
  <si>
    <t>Good Time</t>
  </si>
  <si>
    <t>https://www.imdb.com/title/tt4846232/</t>
  </si>
  <si>
    <t>Benny Safdie, Josh Safdie</t>
  </si>
  <si>
    <t>tt4846340</t>
  </si>
  <si>
    <t>Hidden Figures</t>
  </si>
  <si>
    <t>https://www.imdb.com/title/tt4846340/</t>
  </si>
  <si>
    <t>Theodore Melfi</t>
  </si>
  <si>
    <t>tt0048605</t>
  </si>
  <si>
    <t>The Seven Year Itch</t>
  </si>
  <si>
    <t>https://www.imdb.com/title/tt0048605/</t>
  </si>
  <si>
    <t>tt4878612</t>
  </si>
  <si>
    <t>Z: The Beginning of Everything</t>
  </si>
  <si>
    <t>https://www.imdb.com/title/tt4878612/</t>
  </si>
  <si>
    <t>tt0488120</t>
  </si>
  <si>
    <t>Fracture</t>
  </si>
  <si>
    <t>https://www.imdb.com/title/tt0488120/</t>
  </si>
  <si>
    <t>Gregory Hoblit</t>
  </si>
  <si>
    <t>tt4925292</t>
  </si>
  <si>
    <t>Lady Bird</t>
  </si>
  <si>
    <t>https://www.imdb.com/title/tt4925292/</t>
  </si>
  <si>
    <t>tt0049314</t>
  </si>
  <si>
    <t>High Society</t>
  </si>
  <si>
    <t>https://www.imdb.com/title/tt0049314/</t>
  </si>
  <si>
    <t>Charles Walters</t>
  </si>
  <si>
    <t>tt0049730</t>
  </si>
  <si>
    <t>The Searchers</t>
  </si>
  <si>
    <t>https://www.imdb.com/title/tt0049730/</t>
  </si>
  <si>
    <t>Adventure, Drama, Western</t>
  </si>
  <si>
    <t>John Ford</t>
  </si>
  <si>
    <t>tt0497465</t>
  </si>
  <si>
    <t>Vicky Cristina Barcelona</t>
  </si>
  <si>
    <t>https://www.imdb.com/title/tt0497465/</t>
  </si>
  <si>
    <t>tt0499549</t>
  </si>
  <si>
    <t>Avatar</t>
  </si>
  <si>
    <t>https://www.imdb.com/title/tt0499549/</t>
  </si>
  <si>
    <t>Action, Adventure, Fantasy, Sci-Fi</t>
  </si>
  <si>
    <t>James Cameron</t>
  </si>
  <si>
    <t>tt0050083</t>
  </si>
  <si>
    <t>12 Angry Men</t>
  </si>
  <si>
    <t>https://www.imdb.com/title/tt0050083/</t>
  </si>
  <si>
    <t>Sidney Lumet</t>
  </si>
  <si>
    <t>tt5013056</t>
  </si>
  <si>
    <t>Dunkirk</t>
  </si>
  <si>
    <t>https://www.imdb.com/title/tt5013056/</t>
  </si>
  <si>
    <t>Action, Drama, History, Thriller, War</t>
  </si>
  <si>
    <t>tt5027774</t>
  </si>
  <si>
    <t>Three Billboards Outside Ebbing, Missouri</t>
  </si>
  <si>
    <t>https://www.imdb.com/title/tt5027774/</t>
  </si>
  <si>
    <t>tt5061162</t>
  </si>
  <si>
    <t>Ucitelka</t>
  </si>
  <si>
    <t>https://www.imdb.com/title/tt5061162/</t>
  </si>
  <si>
    <t>Jan Hrebejk</t>
  </si>
  <si>
    <t>tt0050783</t>
  </si>
  <si>
    <t>Le notti di Cabiria</t>
  </si>
  <si>
    <t>https://www.imdb.com/title/tt0050783/</t>
  </si>
  <si>
    <t>Federico Fellini</t>
  </si>
  <si>
    <t>tt5083738</t>
  </si>
  <si>
    <t>The Favourite</t>
  </si>
  <si>
    <t>https://www.imdb.com/title/tt5083738/</t>
  </si>
  <si>
    <t>tt5093026</t>
  </si>
  <si>
    <t>Papillon</t>
  </si>
  <si>
    <t>https://www.imdb.com/title/tt5093026/</t>
  </si>
  <si>
    <t>Adventure, Biography, Crime, Drama</t>
  </si>
  <si>
    <t>Michael Noer</t>
  </si>
  <si>
    <t>tt5109784</t>
  </si>
  <si>
    <t>Mother!</t>
  </si>
  <si>
    <t>https://www.imdb.com/title/tt5109784/</t>
  </si>
  <si>
    <t>tt5173032</t>
  </si>
  <si>
    <t>Buster's Mal Heart</t>
  </si>
  <si>
    <t>https://www.imdb.com/title/tt5173032/</t>
  </si>
  <si>
    <t>Sarah Adina Smith</t>
  </si>
  <si>
    <t>tt5186236</t>
  </si>
  <si>
    <t>Powidoki</t>
  </si>
  <si>
    <t>https://www.imdb.com/title/tt5186236/</t>
  </si>
  <si>
    <t>Andrzej Wajda</t>
  </si>
  <si>
    <t>tt5192124</t>
  </si>
  <si>
    <t>Bo Burnham: Make Happy</t>
  </si>
  <si>
    <t>https://www.imdb.com/title/tt5192124/</t>
  </si>
  <si>
    <t>tt0052080</t>
  </si>
  <si>
    <t>Popiól i diament</t>
  </si>
  <si>
    <t>https://www.imdb.com/title/tt0052080/</t>
  </si>
  <si>
    <t>tt5228812</t>
  </si>
  <si>
    <t>Waltz Alchevsk</t>
  </si>
  <si>
    <t>https://www.imdb.com/title/tt5228812/</t>
  </si>
  <si>
    <t>Vadym Ilkov</t>
  </si>
  <si>
    <t>tt5247022</t>
  </si>
  <si>
    <t>Paterson</t>
  </si>
  <si>
    <t>https://www.imdb.com/title/tt5247022/</t>
  </si>
  <si>
    <t>tt5278832</t>
  </si>
  <si>
    <t>Córki dancingu</t>
  </si>
  <si>
    <t>https://www.imdb.com/title/tt5278832/</t>
  </si>
  <si>
    <t>Drama, Fantasy, Horror, Musical, Thriller</t>
  </si>
  <si>
    <t>Agnieszka Smoczynska</t>
  </si>
  <si>
    <t>tt0052893</t>
  </si>
  <si>
    <t>Hiroshima mon amour</t>
  </si>
  <si>
    <t>https://www.imdb.com/title/tt0052893/</t>
  </si>
  <si>
    <t>Alain Resnais</t>
  </si>
  <si>
    <t>tt0053177</t>
  </si>
  <si>
    <t>Poema o more</t>
  </si>
  <si>
    <t>https://www.imdb.com/title/tt0053177/</t>
  </si>
  <si>
    <t>Yuliya Solntseva</t>
  </si>
  <si>
    <t>tt0053291</t>
  </si>
  <si>
    <t>Some Like It Hot</t>
  </si>
  <si>
    <t>https://www.imdb.com/title/tt0053291/</t>
  </si>
  <si>
    <t>Comedy, Music, Romance</t>
  </si>
  <si>
    <t>tt0053472</t>
  </si>
  <si>
    <t>À bout de souffle</t>
  </si>
  <si>
    <t>https://www.imdb.com/title/tt0053472/</t>
  </si>
  <si>
    <t>Jean-Luc Godard</t>
  </si>
  <si>
    <t>tt5363618</t>
  </si>
  <si>
    <t>Sound of Metal</t>
  </si>
  <si>
    <t>https://www.imdb.com/title/tt5363618/</t>
  </si>
  <si>
    <t>Darius Marder</t>
  </si>
  <si>
    <t>tt0053779</t>
  </si>
  <si>
    <t>La dolce vita</t>
  </si>
  <si>
    <t>https://www.imdb.com/title/tt0053779/</t>
  </si>
  <si>
    <t>tt0053873</t>
  </si>
  <si>
    <t>Lita molodiyi</t>
  </si>
  <si>
    <t>https://www.imdb.com/title/tt0053873/</t>
  </si>
  <si>
    <t>Musical, Romance</t>
  </si>
  <si>
    <t>Aleksei Mishurin</t>
  </si>
  <si>
    <t>tt0054215</t>
  </si>
  <si>
    <t>Psycho</t>
  </si>
  <si>
    <t>https://www.imdb.com/title/tt0054215/</t>
  </si>
  <si>
    <t>tt5437928</t>
  </si>
  <si>
    <t>Colette</t>
  </si>
  <si>
    <t>https://www.imdb.com/title/tt5437928/</t>
  </si>
  <si>
    <t>Wash Westmoreland</t>
  </si>
  <si>
    <t>tt5487360</t>
  </si>
  <si>
    <t>Mariupolis</t>
  </si>
  <si>
    <t>https://www.imdb.com/title/tt5487360/</t>
  </si>
  <si>
    <t>Mantas Kvedaravicius</t>
  </si>
  <si>
    <t>tt0055031</t>
  </si>
  <si>
    <t>Judgment at Nuremberg</t>
  </si>
  <si>
    <t>https://www.imdb.com/title/tt0055031/</t>
  </si>
  <si>
    <t>Stanley Kramer</t>
  </si>
  <si>
    <t>tt5509858</t>
  </si>
  <si>
    <t>Fitness Wins: 4 and 20 Fit Girls</t>
  </si>
  <si>
    <t>https://www.imdb.com/title/tt5509858/</t>
  </si>
  <si>
    <t>Mary Field</t>
  </si>
  <si>
    <t>tt5537002</t>
  </si>
  <si>
    <t>Killers of the Flower Moon</t>
  </si>
  <si>
    <t>https://www.imdb.com/title/tt5537002/</t>
  </si>
  <si>
    <t>Crime, Drama, History, Mystery, Romance, Western</t>
  </si>
  <si>
    <t>tt5541240</t>
  </si>
  <si>
    <t>To the Bone</t>
  </si>
  <si>
    <t>https://www.imdb.com/title/tt5541240/</t>
  </si>
  <si>
    <t>Marti Noxon</t>
  </si>
  <si>
    <t>tt0055572</t>
  </si>
  <si>
    <t>Une femme est une femme</t>
  </si>
  <si>
    <t>https://www.imdb.com/title/tt0055572/</t>
  </si>
  <si>
    <t>tt5559596</t>
  </si>
  <si>
    <t>Sensiz</t>
  </si>
  <si>
    <t>https://www.imdb.com/title/tt5559596/</t>
  </si>
  <si>
    <t>tt5580036</t>
  </si>
  <si>
    <t>I, Tonya</t>
  </si>
  <si>
    <t>https://www.imdb.com/title/tt5580036/</t>
  </si>
  <si>
    <t>Biography, Comedy, Drama, Sport</t>
  </si>
  <si>
    <t>tt5580390</t>
  </si>
  <si>
    <t>The Shape of Water</t>
  </si>
  <si>
    <t>https://www.imdb.com/title/tt5580390/</t>
  </si>
  <si>
    <t>tt0055852</t>
  </si>
  <si>
    <t>Cléo de 5 à 7</t>
  </si>
  <si>
    <t>https://www.imdb.com/title/tt0055852/</t>
  </si>
  <si>
    <t>Agnès Varda</t>
  </si>
  <si>
    <t>tt5592248</t>
  </si>
  <si>
    <t>The Beguiled</t>
  </si>
  <si>
    <t>https://www.imdb.com/title/tt5592248/</t>
  </si>
  <si>
    <t>tt5606664</t>
  </si>
  <si>
    <t>Doctor Sleep</t>
  </si>
  <si>
    <t>https://www.imdb.com/title/tt5606664/</t>
  </si>
  <si>
    <t>Drama, Fantasy, Horror, Thriller</t>
  </si>
  <si>
    <t>Mike Flanagan</t>
  </si>
  <si>
    <t>tt5607714</t>
  </si>
  <si>
    <t>Teströl és lélekröl</t>
  </si>
  <si>
    <t>https://www.imdb.com/title/tt5607714/</t>
  </si>
  <si>
    <t>Drama, Fantasy, Mystery, Romance</t>
  </si>
  <si>
    <t>Ildikó Enyedi</t>
  </si>
  <si>
    <t>tt5613484</t>
  </si>
  <si>
    <t>Mid90s</t>
  </si>
  <si>
    <t>https://www.imdb.com/title/tt5613484/</t>
  </si>
  <si>
    <t>tt0056193</t>
  </si>
  <si>
    <t>Lolita</t>
  </si>
  <si>
    <t>https://www.imdb.com/title/tt0056193/</t>
  </si>
  <si>
    <t>tt0056291</t>
  </si>
  <si>
    <t>Nóz w wodzie</t>
  </si>
  <si>
    <t>https://www.imdb.com/title/tt0056291/</t>
  </si>
  <si>
    <t>tt5649144</t>
  </si>
  <si>
    <t>The Florida Project</t>
  </si>
  <si>
    <t>https://www.imdb.com/title/tt5649144/</t>
  </si>
  <si>
    <t>tt5666304</t>
  </si>
  <si>
    <t>The Little Hours</t>
  </si>
  <si>
    <t>https://www.imdb.com/title/tt5666304/</t>
  </si>
  <si>
    <t>Jeff Baena</t>
  </si>
  <si>
    <t>tt0056801</t>
  </si>
  <si>
    <t>8½</t>
  </si>
  <si>
    <t>https://www.imdb.com/title/tt0056801/</t>
  </si>
  <si>
    <t>tt5687612</t>
  </si>
  <si>
    <t>Fleabag</t>
  </si>
  <si>
    <t>https://www.imdb.com/title/tt5687612/</t>
  </si>
  <si>
    <t>tt5691670</t>
  </si>
  <si>
    <t>Under the Silver Lake</t>
  </si>
  <si>
    <t>https://www.imdb.com/title/tt5691670/</t>
  </si>
  <si>
    <t>tt5699160</t>
  </si>
  <si>
    <t>Blood Sausage</t>
  </si>
  <si>
    <t>https://www.imdb.com/title/tt5699160/</t>
  </si>
  <si>
    <t>Short, Comedy, Drama</t>
  </si>
  <si>
    <t>tt0057012</t>
  </si>
  <si>
    <t>Dr. Strangelove or: How I Learned to Stop Worrying and Love the Bomb</t>
  </si>
  <si>
    <t>https://www.imdb.com/title/tt0057012/</t>
  </si>
  <si>
    <t>Comedy, War</t>
  </si>
  <si>
    <t>tt5715874</t>
  </si>
  <si>
    <t>The Killing of a Sacred Deer</t>
  </si>
  <si>
    <t>https://www.imdb.com/title/tt5715874/</t>
  </si>
  <si>
    <t>Drama, Horror, Mystery, Thriller</t>
  </si>
  <si>
    <t>tt0057261</t>
  </si>
  <si>
    <t>Lord of the Flies</t>
  </si>
  <si>
    <t>https://www.imdb.com/title/tt0057261/</t>
  </si>
  <si>
    <t>Adventure, Drama, Thriller</t>
  </si>
  <si>
    <t>Peter Brook</t>
  </si>
  <si>
    <t>tt5726616</t>
  </si>
  <si>
    <t>Call Me by Your Name</t>
  </si>
  <si>
    <t>https://www.imdb.com/title/tt5726616/</t>
  </si>
  <si>
    <t>tt5727208</t>
  </si>
  <si>
    <t>Uncut Gems</t>
  </si>
  <si>
    <t>https://www.imdb.com/title/tt5727208/</t>
  </si>
  <si>
    <t>tt5753856</t>
  </si>
  <si>
    <t>Dark</t>
  </si>
  <si>
    <t>https://www.imdb.com/title/tt5753856/</t>
  </si>
  <si>
    <t>Crime, Drama, Mystery, Sci-Fi, Thriller</t>
  </si>
  <si>
    <t>tt5774060</t>
  </si>
  <si>
    <t>Underwater</t>
  </si>
  <si>
    <t>https://www.imdb.com/title/tt5774060/</t>
  </si>
  <si>
    <t>Action, Horror, Sci-Fi, Thriller</t>
  </si>
  <si>
    <t>William Eubank</t>
  </si>
  <si>
    <t>tt5774450</t>
  </si>
  <si>
    <t>Summer of 84</t>
  </si>
  <si>
    <t>https://www.imdb.com/title/tt5774450/</t>
  </si>
  <si>
    <t>Anouk Whissell, François Simard, Yoann-Karl Whissell</t>
  </si>
  <si>
    <t>tt5776858</t>
  </si>
  <si>
    <t>Phantom Thread</t>
  </si>
  <si>
    <t>https://www.imdb.com/title/tt5776858/</t>
  </si>
  <si>
    <t>Drama, History, Romance</t>
  </si>
  <si>
    <t>tt5788792</t>
  </si>
  <si>
    <t>The Marvelous Mrs. Maisel</t>
  </si>
  <si>
    <t>https://www.imdb.com/title/tt5788792/</t>
  </si>
  <si>
    <t>tt0058182</t>
  </si>
  <si>
    <t>A Hard Day's Night</t>
  </si>
  <si>
    <t>https://www.imdb.com/title/tt0058182/</t>
  </si>
  <si>
    <t>Comedy, Musical</t>
  </si>
  <si>
    <t>Richard Lester</t>
  </si>
  <si>
    <t>tt0058450</t>
  </si>
  <si>
    <t>Les parapluies de Cherbourg</t>
  </si>
  <si>
    <t>https://www.imdb.com/title/tt0058450/</t>
  </si>
  <si>
    <t>Jacques Demy</t>
  </si>
  <si>
    <t>tt0058642</t>
  </si>
  <si>
    <t>Tini zabutykh predkiv</t>
  </si>
  <si>
    <t>https://www.imdb.com/title/tt0058642/</t>
  </si>
  <si>
    <t>tt5886440</t>
  </si>
  <si>
    <t>Marrowbone</t>
  </si>
  <si>
    <t>https://www.imdb.com/title/tt5886440/</t>
  </si>
  <si>
    <t>Sergio G. Sánchez</t>
  </si>
  <si>
    <t>tt0058898</t>
  </si>
  <si>
    <t>Alphaville: Une étrange aventure de Lemmy Caution</t>
  </si>
  <si>
    <t>https://www.imdb.com/title/tt0058898/</t>
  </si>
  <si>
    <t>tt5890460</t>
  </si>
  <si>
    <t>Dyke pole</t>
  </si>
  <si>
    <t>https://www.imdb.com/title/tt5890460/</t>
  </si>
  <si>
    <t>Adventure, Comedy, Drama, Western</t>
  </si>
  <si>
    <t>Yaroslav Lodygin</t>
  </si>
  <si>
    <t>tt5929754</t>
  </si>
  <si>
    <t>Wildlife</t>
  </si>
  <si>
    <t>https://www.imdb.com/title/tt5929754/</t>
  </si>
  <si>
    <t>Paul Dano</t>
  </si>
  <si>
    <t>tt0059646</t>
  </si>
  <si>
    <t>Repulsion</t>
  </si>
  <si>
    <t>https://www.imdb.com/title/tt0059646/</t>
  </si>
  <si>
    <t>tt0059655</t>
  </si>
  <si>
    <t>Krynytsya dlya sprahlykh</t>
  </si>
  <si>
    <t>https://www.imdb.com/title/tt0059655/</t>
  </si>
  <si>
    <t>tt5990474</t>
  </si>
  <si>
    <t>Columbus</t>
  </si>
  <si>
    <t>https://www.imdb.com/title/tt5990474/</t>
  </si>
  <si>
    <t>Kogonada</t>
  </si>
  <si>
    <t>tt0060176</t>
  </si>
  <si>
    <t>Blow-Up</t>
  </si>
  <si>
    <t>https://www.imdb.com/title/tt0060176/</t>
  </si>
  <si>
    <t>Michelangelo Antonioni</t>
  </si>
  <si>
    <t>tt0060675</t>
  </si>
  <si>
    <t>Masculin féminin</t>
  </si>
  <si>
    <t>https://www.imdb.com/title/tt0060675/</t>
  </si>
  <si>
    <t>tt0060827</t>
  </si>
  <si>
    <t>Persona</t>
  </si>
  <si>
    <t>https://www.imdb.com/title/tt0060827/</t>
  </si>
  <si>
    <t>Ingmar Bergman</t>
  </si>
  <si>
    <t>tt0060959</t>
  </si>
  <si>
    <t>Sedmikrásky</t>
  </si>
  <si>
    <t>https://www.imdb.com/title/tt0060959/</t>
  </si>
  <si>
    <t>Vera Chytilová</t>
  </si>
  <si>
    <t>tt6102080</t>
  </si>
  <si>
    <t>Red</t>
  </si>
  <si>
    <t>https://www.imdb.com/title/tt6102080/</t>
  </si>
  <si>
    <t>Del Kathryn Barton</t>
  </si>
  <si>
    <t>tt6160448</t>
  </si>
  <si>
    <t>White Noise</t>
  </si>
  <si>
    <t>https://www.imdb.com/title/tt6160448/</t>
  </si>
  <si>
    <t>Comedy, Drama, Horror, Mystery</t>
  </si>
  <si>
    <t>tt6164502</t>
  </si>
  <si>
    <t>November</t>
  </si>
  <si>
    <t>https://www.imdb.com/title/tt6164502/</t>
  </si>
  <si>
    <t>Jenny Van Son, Rainer Sarnet</t>
  </si>
  <si>
    <t>tt0061722</t>
  </si>
  <si>
    <t>The Graduate</t>
  </si>
  <si>
    <t>https://www.imdb.com/title/tt0061722/</t>
  </si>
  <si>
    <t>tt0061781</t>
  </si>
  <si>
    <t>Horí, má panenko</t>
  </si>
  <si>
    <t>https://www.imdb.com/title/tt0061781/</t>
  </si>
  <si>
    <t>Milos Forman</t>
  </si>
  <si>
    <t>tt6217926</t>
  </si>
  <si>
    <t>Annette</t>
  </si>
  <si>
    <t>https://www.imdb.com/title/tt6217926/</t>
  </si>
  <si>
    <t>tt0062430</t>
  </si>
  <si>
    <t>Valley of the Dolls</t>
  </si>
  <si>
    <t>https://www.imdb.com/title/tt0062430/</t>
  </si>
  <si>
    <t>Mark Robson</t>
  </si>
  <si>
    <t>tt0062622</t>
  </si>
  <si>
    <t>2001: A Space Odyssey</t>
  </si>
  <si>
    <t>https://www.imdb.com/title/tt0062622/</t>
  </si>
  <si>
    <t>Adventure, Sci-Fi</t>
  </si>
  <si>
    <t>tt0063522</t>
  </si>
  <si>
    <t>Rosemary's Baby</t>
  </si>
  <si>
    <t>https://www.imdb.com/title/tt0063522/</t>
  </si>
  <si>
    <t>tt6477262</t>
  </si>
  <si>
    <t>An Impossible Project</t>
  </si>
  <si>
    <t>https://www.imdb.com/title/tt6477262/</t>
  </si>
  <si>
    <t>Jens Meurer</t>
  </si>
  <si>
    <t>tt6543652</t>
  </si>
  <si>
    <t>Zimna wojna</t>
  </si>
  <si>
    <t>https://www.imdb.com/title/tt6543652/</t>
  </si>
  <si>
    <t>tt0065670</t>
  </si>
  <si>
    <t>https://www.imdb.com/title/tt0065670/</t>
  </si>
  <si>
    <t>Leonid Gaidai</t>
  </si>
  <si>
    <t>tt6628394</t>
  </si>
  <si>
    <t>Bad Times at the El Royale</t>
  </si>
  <si>
    <t>https://www.imdb.com/title/tt6628394/</t>
  </si>
  <si>
    <t>Drew Goddard</t>
  </si>
  <si>
    <t>tt0066516</t>
  </si>
  <si>
    <t>Valerie a týden divu</t>
  </si>
  <si>
    <t>https://www.imdb.com/title/tt0066516/</t>
  </si>
  <si>
    <t>Adventure, Drama, Fantasy, Horror</t>
  </si>
  <si>
    <t>Jaromil Jires</t>
  </si>
  <si>
    <t>tt0066921</t>
  </si>
  <si>
    <t>A Clockwork Orange</t>
  </si>
  <si>
    <t>https://www.imdb.com/title/tt0066921/</t>
  </si>
  <si>
    <t>Crime, Sci-Fi</t>
  </si>
  <si>
    <t>tt6710474</t>
  </si>
  <si>
    <t>Everything Everywhere All at Once</t>
  </si>
  <si>
    <t>https://www.imdb.com/title/tt6710474/</t>
  </si>
  <si>
    <t>Action, Adventure, Comedy, Fantasy, Sci-Fi</t>
  </si>
  <si>
    <t>Daniel Kwan, Daniel Scheinert</t>
  </si>
  <si>
    <t>tt6723592</t>
  </si>
  <si>
    <t>Tenet</t>
  </si>
  <si>
    <t>https://www.imdb.com/title/tt6723592/</t>
  </si>
  <si>
    <t>Action, Sci-Fi, Thriller</t>
  </si>
  <si>
    <t>tt0067328</t>
  </si>
  <si>
    <t>The Last Picture Show</t>
  </si>
  <si>
    <t>https://www.imdb.com/title/tt0067328/</t>
  </si>
  <si>
    <t>Peter Bogdanovich</t>
  </si>
  <si>
    <t>tt6751668</t>
  </si>
  <si>
    <t>Gisaengchung</t>
  </si>
  <si>
    <t>https://www.imdb.com/title/tt6751668/</t>
  </si>
  <si>
    <t>tt6823148</t>
  </si>
  <si>
    <t>Benedetta</t>
  </si>
  <si>
    <t>https://www.imdb.com/title/tt6823148/</t>
  </si>
  <si>
    <t>tt0068278</t>
  </si>
  <si>
    <t>Die bitteren Tränen der Petra von Kant</t>
  </si>
  <si>
    <t>https://www.imdb.com/title/tt0068278/</t>
  </si>
  <si>
    <t>Rainer Werner Fassbinder</t>
  </si>
  <si>
    <t>tt6828390</t>
  </si>
  <si>
    <t>Mr. Jones</t>
  </si>
  <si>
    <t>https://www.imdb.com/title/tt6828390/</t>
  </si>
  <si>
    <t>Biography, Drama, Thriller</t>
  </si>
  <si>
    <t>tt0068327</t>
  </si>
  <si>
    <t>Cabaret</t>
  </si>
  <si>
    <t>https://www.imdb.com/title/tt0068327/</t>
  </si>
  <si>
    <t>Bob Fosse</t>
  </si>
  <si>
    <t>tt6835498</t>
  </si>
  <si>
    <t>Khrustal</t>
  </si>
  <si>
    <t>https://www.imdb.com/title/tt6835498/</t>
  </si>
  <si>
    <t>Darya Zhuk</t>
  </si>
  <si>
    <t>tt0068555</t>
  </si>
  <si>
    <t>Everything You Always Wanted to Know About Sex * But Were Afraid to Ask</t>
  </si>
  <si>
    <t>https://www.imdb.com/title/tt0068555/</t>
  </si>
  <si>
    <t>tt6857112</t>
  </si>
  <si>
    <t>Us</t>
  </si>
  <si>
    <t>https://www.imdb.com/title/tt6857112/</t>
  </si>
  <si>
    <t>Jordan Peele</t>
  </si>
  <si>
    <t>tt0068655</t>
  </si>
  <si>
    <t>Le grand blond avec une chaussure noire</t>
  </si>
  <si>
    <t>https://www.imdb.com/title/tt0068655/</t>
  </si>
  <si>
    <t>Yves Robert</t>
  </si>
  <si>
    <t>tt6902676</t>
  </si>
  <si>
    <t>Guns Akimbo</t>
  </si>
  <si>
    <t>https://www.imdb.com/title/tt6902676/</t>
  </si>
  <si>
    <t>Jason Howden</t>
  </si>
  <si>
    <t>tt0069089</t>
  </si>
  <si>
    <t>Pink Flamingos</t>
  </si>
  <si>
    <t>https://www.imdb.com/title/tt0069089/</t>
  </si>
  <si>
    <t>John Waters</t>
  </si>
  <si>
    <t>tt6920356</t>
  </si>
  <si>
    <t>The Souvenir</t>
  </si>
  <si>
    <t>https://www.imdb.com/title/tt6920356/</t>
  </si>
  <si>
    <t>Joanna Hogg</t>
  </si>
  <si>
    <t>tt6938828</t>
  </si>
  <si>
    <t>At Eternity's Gate</t>
  </si>
  <si>
    <t>https://www.imdb.com/title/tt6938828/</t>
  </si>
  <si>
    <t>Julian Schnabel</t>
  </si>
  <si>
    <t>tt6962220</t>
  </si>
  <si>
    <t>Hunger for Truth</t>
  </si>
  <si>
    <t>https://www.imdb.com/title/tt6962220/</t>
  </si>
  <si>
    <t>Documentary, History, War</t>
  </si>
  <si>
    <t>Andrew Tkach</t>
  </si>
  <si>
    <t>tt6966692</t>
  </si>
  <si>
    <t>Green Book</t>
  </si>
  <si>
    <t>https://www.imdb.com/title/tt6966692/</t>
  </si>
  <si>
    <t>Biography, Comedy, Drama, Music</t>
  </si>
  <si>
    <t>tt0069704</t>
  </si>
  <si>
    <t>American Graffiti</t>
  </si>
  <si>
    <t>https://www.imdb.com/title/tt0069704/</t>
  </si>
  <si>
    <t>George Lucas</t>
  </si>
  <si>
    <t>tt6992978</t>
  </si>
  <si>
    <t>The Souvenir: Part II</t>
  </si>
  <si>
    <t>https://www.imdb.com/title/tt6992978/</t>
  </si>
  <si>
    <t>tt0069995</t>
  </si>
  <si>
    <t>Don't Look Now</t>
  </si>
  <si>
    <t>https://www.imdb.com/title/tt0069995/</t>
  </si>
  <si>
    <t>Nicolas Roeg</t>
  </si>
  <si>
    <t>tt7014006</t>
  </si>
  <si>
    <t>Eighth Grade</t>
  </si>
  <si>
    <t>https://www.imdb.com/title/tt7014006/</t>
  </si>
  <si>
    <t>tt0071129</t>
  </si>
  <si>
    <t>Amarcord</t>
  </si>
  <si>
    <t>https://www.imdb.com/title/tt0071129/</t>
  </si>
  <si>
    <t>tt7131622</t>
  </si>
  <si>
    <t>Once Upon a Time in... Hollywood</t>
  </si>
  <si>
    <t>https://www.imdb.com/title/tt7131622/</t>
  </si>
  <si>
    <t>tt7133202</t>
  </si>
  <si>
    <t>Koly padayut dereva</t>
  </si>
  <si>
    <t>https://www.imdb.com/title/tt7133202/</t>
  </si>
  <si>
    <t>Marysia Nikitiuk</t>
  </si>
  <si>
    <t>tt7139936</t>
  </si>
  <si>
    <t>A Rainy Day in New York</t>
  </si>
  <si>
    <t>https://www.imdb.com/title/tt7139936/</t>
  </si>
  <si>
    <t>tt0071483</t>
  </si>
  <si>
    <t>Falsche Bewegung</t>
  </si>
  <si>
    <t>https://www.imdb.com/title/tt0071483/</t>
  </si>
  <si>
    <t>Wim Wenders</t>
  </si>
  <si>
    <t>tt0071853</t>
  </si>
  <si>
    <t>Monty Python and the Holy Grail</t>
  </si>
  <si>
    <t>https://www.imdb.com/title/tt0071853/</t>
  </si>
  <si>
    <t>Terry Jones, Terry Gilliam</t>
  </si>
  <si>
    <t>tt7186036</t>
  </si>
  <si>
    <t>Vulkan</t>
  </si>
  <si>
    <t>https://www.imdb.com/title/tt7186036/</t>
  </si>
  <si>
    <t>Roman Bondarchuk</t>
  </si>
  <si>
    <t>tt7188868</t>
  </si>
  <si>
    <t>Diana: In Her Own Words</t>
  </si>
  <si>
    <t>https://www.imdb.com/title/tt7188868/</t>
  </si>
  <si>
    <t>Documentary, Biography</t>
  </si>
  <si>
    <t>David Tillman, Tom Jennings</t>
  </si>
  <si>
    <t>tt0071910</t>
  </si>
  <si>
    <t>Il portiere di notte</t>
  </si>
  <si>
    <t>https://www.imdb.com/title/tt0071910/</t>
  </si>
  <si>
    <t>Liliana Cavani</t>
  </si>
  <si>
    <t>tt7230214</t>
  </si>
  <si>
    <t>No obvious signs</t>
  </si>
  <si>
    <t>https://www.imdb.com/title/tt7230214/</t>
  </si>
  <si>
    <t>Alina Gorlova</t>
  </si>
  <si>
    <t>tt7286456</t>
  </si>
  <si>
    <t>Joker</t>
  </si>
  <si>
    <t>https://www.imdb.com/title/tt7286456/</t>
  </si>
  <si>
    <t>Todd Phillips</t>
  </si>
  <si>
    <t>tt7322224</t>
  </si>
  <si>
    <t>Triangle of Sadness</t>
  </si>
  <si>
    <t>https://www.imdb.com/title/tt7322224/</t>
  </si>
  <si>
    <t>Ruben Östlund</t>
  </si>
  <si>
    <t>tt0073486</t>
  </si>
  <si>
    <t>One Flew Over the Cuckoo's Nest</t>
  </si>
  <si>
    <t>https://www.imdb.com/title/tt0073486/</t>
  </si>
  <si>
    <t>tt7349662</t>
  </si>
  <si>
    <t>BlacKkKlansman</t>
  </si>
  <si>
    <t>https://www.imdb.com/title/tt7349662/</t>
  </si>
  <si>
    <t>Biography, Comedy, Crime, Drama</t>
  </si>
  <si>
    <t>Spike Lee</t>
  </si>
  <si>
    <t>tt0073629</t>
  </si>
  <si>
    <t>The Rocky Horror Picture Show</t>
  </si>
  <si>
    <t>https://www.imdb.com/title/tt0073629/</t>
  </si>
  <si>
    <t>Comedy, Horror, Musical</t>
  </si>
  <si>
    <t>Jim Sharman</t>
  </si>
  <si>
    <t>tt7366338</t>
  </si>
  <si>
    <t>Chernobyl</t>
  </si>
  <si>
    <t>https://www.imdb.com/title/tt7366338/</t>
  </si>
  <si>
    <t>tt7395114</t>
  </si>
  <si>
    <t>The Devil All the Time</t>
  </si>
  <si>
    <t>https://www.imdb.com/title/tt7395114/</t>
  </si>
  <si>
    <t>Antonio Campos</t>
  </si>
  <si>
    <t>tt7439064</t>
  </si>
  <si>
    <t>The Rising Hawk</t>
  </si>
  <si>
    <t>https://www.imdb.com/title/tt7439064/</t>
  </si>
  <si>
    <t>Action, Drama, History</t>
  </si>
  <si>
    <t>Akhtem Seitablaev, John Wynn</t>
  </si>
  <si>
    <t>tt0074486</t>
  </si>
  <si>
    <t>Eraserhead</t>
  </si>
  <si>
    <t>https://www.imdb.com/title/tt0074486/</t>
  </si>
  <si>
    <t>Fantasy, Horror</t>
  </si>
  <si>
    <t>tt7475578</t>
  </si>
  <si>
    <t>Munich: The Edge of War</t>
  </si>
  <si>
    <t>https://www.imdb.com/title/tt7475578/</t>
  </si>
  <si>
    <t>Biography, Drama, History, Thriller</t>
  </si>
  <si>
    <t>Christian Schwochow</t>
  </si>
  <si>
    <t>tt0075314</t>
  </si>
  <si>
    <t>Taxi Driver</t>
  </si>
  <si>
    <t>https://www.imdb.com/title/tt0075314/</t>
  </si>
  <si>
    <t>tt7557108</t>
  </si>
  <si>
    <t>Saint Maud</t>
  </si>
  <si>
    <t>https://www.imdb.com/title/tt7557108/</t>
  </si>
  <si>
    <t>Rose Glass</t>
  </si>
  <si>
    <t>tt0075686</t>
  </si>
  <si>
    <t>Annie Hall</t>
  </si>
  <si>
    <t>https://www.imdb.com/title/tt0075686/</t>
  </si>
  <si>
    <t>tt7643478</t>
  </si>
  <si>
    <t>Lilac</t>
  </si>
  <si>
    <t>https://www.imdb.com/title/tt7643478/</t>
  </si>
  <si>
    <t>tt0765120</t>
  </si>
  <si>
    <t>My Blueberry Nights</t>
  </si>
  <si>
    <t>https://www.imdb.com/title/tt0765120/</t>
  </si>
  <si>
    <t>tt7653254</t>
  </si>
  <si>
    <t>Marriage Story</t>
  </si>
  <si>
    <t>https://www.imdb.com/title/tt7653254/</t>
  </si>
  <si>
    <t>tt0076786</t>
  </si>
  <si>
    <t>https://www.imdb.com/title/tt0076786/</t>
  </si>
  <si>
    <t>Horror</t>
  </si>
  <si>
    <t>Dario Argento</t>
  </si>
  <si>
    <t>tt7691572</t>
  </si>
  <si>
    <t>Kiborgy. Heroyi ne vmyrayut</t>
  </si>
  <si>
    <t>https://www.imdb.com/title/tt7691572/</t>
  </si>
  <si>
    <t>tt0769508</t>
  </si>
  <si>
    <t>Dans Paris</t>
  </si>
  <si>
    <t>https://www.imdb.com/title/tt0769508/</t>
  </si>
  <si>
    <t>tt7713068</t>
  </si>
  <si>
    <t>Birds of Prey and the Fantabulous Emancipation of One Harley Quinn</t>
  </si>
  <si>
    <t>https://www.imdb.com/title/tt7713068/</t>
  </si>
  <si>
    <t>Action, Comedy, Crime</t>
  </si>
  <si>
    <t>Cathy Yan</t>
  </si>
  <si>
    <t>tt7736212</t>
  </si>
  <si>
    <t>Hutsulka Ksenya</t>
  </si>
  <si>
    <t>https://www.imdb.com/title/tt7736212/</t>
  </si>
  <si>
    <t>Musical</t>
  </si>
  <si>
    <t>Alena Demyanenko</t>
  </si>
  <si>
    <t>tt7740496</t>
  </si>
  <si>
    <t>Nightmare Alley</t>
  </si>
  <si>
    <t>https://www.imdb.com/title/tt7740496/</t>
  </si>
  <si>
    <t>tt7751526</t>
  </si>
  <si>
    <t>Ma</t>
  </si>
  <si>
    <t>https://www.imdb.com/title/tt7751526/</t>
  </si>
  <si>
    <t>Documentary, Short, Family, War</t>
  </si>
  <si>
    <t>Maria Stoianova</t>
  </si>
  <si>
    <t>tt7759362</t>
  </si>
  <si>
    <t>Drakulics elvtárs</t>
  </si>
  <si>
    <t>https://www.imdb.com/title/tt7759362/</t>
  </si>
  <si>
    <t>Comedy, Fantasy, Horror, Mystery, Romance, Thriller</t>
  </si>
  <si>
    <t>Márk Bodzsár</t>
  </si>
  <si>
    <t>tt7784604</t>
  </si>
  <si>
    <t>Hereditary</t>
  </si>
  <si>
    <t>https://www.imdb.com/title/tt7784604/</t>
  </si>
  <si>
    <t>tt7798634</t>
  </si>
  <si>
    <t>Ready or Not</t>
  </si>
  <si>
    <t>https://www.imdb.com/title/tt7798634/</t>
  </si>
  <si>
    <t>Action, Comedy, Horror, Mystery, Thriller</t>
  </si>
  <si>
    <t>Matt Bettinelli-Olpin, Tyler Gillett</t>
  </si>
  <si>
    <t>tt0780504</t>
  </si>
  <si>
    <t>Drive</t>
  </si>
  <si>
    <t>https://www.imdb.com/title/tt0780504/</t>
  </si>
  <si>
    <t>Action, Drama</t>
  </si>
  <si>
    <t>tt0780536</t>
  </si>
  <si>
    <t>In Bruges</t>
  </si>
  <si>
    <t>https://www.imdb.com/title/tt0780536/</t>
  </si>
  <si>
    <t>Comedy, Crime, Drama, Thriller</t>
  </si>
  <si>
    <t>tt7830574</t>
  </si>
  <si>
    <t>Ricky Gervais: Humanity</t>
  </si>
  <si>
    <t>https://www.imdb.com/title/tt7830574/</t>
  </si>
  <si>
    <t>tt0783233</t>
  </si>
  <si>
    <t>Atonement</t>
  </si>
  <si>
    <t>https://www.imdb.com/title/tt0783233/</t>
  </si>
  <si>
    <t>Drama, Mystery, Romance, War</t>
  </si>
  <si>
    <t>tt0783849</t>
  </si>
  <si>
    <t>Un lever de rideau</t>
  </si>
  <si>
    <t>https://www.imdb.com/title/tt0783849/</t>
  </si>
  <si>
    <t>tt0078748</t>
  </si>
  <si>
    <t>Alien</t>
  </si>
  <si>
    <t>https://www.imdb.com/title/tt0078748/</t>
  </si>
  <si>
    <t>Horror, Sci-Fi</t>
  </si>
  <si>
    <t>tt0787524</t>
  </si>
  <si>
    <t>The Man Who Knew Infinity</t>
  </si>
  <si>
    <t>https://www.imdb.com/title/tt0787524/</t>
  </si>
  <si>
    <t>Matt Brown</t>
  </si>
  <si>
    <t>tt0078754</t>
  </si>
  <si>
    <t>All That Jazz</t>
  </si>
  <si>
    <t>https://www.imdb.com/title/tt0078754/</t>
  </si>
  <si>
    <t>Drama, Music, Musical</t>
  </si>
  <si>
    <t>tt7876510</t>
  </si>
  <si>
    <t>Moyi dumky tykhi</t>
  </si>
  <si>
    <t>https://www.imdb.com/title/tt7876510/</t>
  </si>
  <si>
    <t>tt0078788</t>
  </si>
  <si>
    <t>Apocalypse Now</t>
  </si>
  <si>
    <t>https://www.imdb.com/title/tt0078788/</t>
  </si>
  <si>
    <t>Drama, Mystery, War</t>
  </si>
  <si>
    <t>Francis Ford Coppola</t>
  </si>
  <si>
    <t>tt0079095</t>
  </si>
  <si>
    <t>Die Ehe der Maria Braun</t>
  </si>
  <si>
    <t>https://www.imdb.com/title/tt0079095/</t>
  </si>
  <si>
    <t>tt7939766</t>
  </si>
  <si>
    <t>I'm Thinking of Ending Things</t>
  </si>
  <si>
    <t>https://www.imdb.com/title/tt7939766/</t>
  </si>
  <si>
    <t>Charlie Kaufman</t>
  </si>
  <si>
    <t>tt0079470</t>
  </si>
  <si>
    <t>Life of Brian</t>
  </si>
  <si>
    <t>https://www.imdb.com/title/tt0079470/</t>
  </si>
  <si>
    <t>Terry Jones</t>
  </si>
  <si>
    <t>tt0079522</t>
  </si>
  <si>
    <t>Manhattan</t>
  </si>
  <si>
    <t>https://www.imdb.com/title/tt0079522/</t>
  </si>
  <si>
    <t>tt0795421</t>
  </si>
  <si>
    <t>Mamma Mia!</t>
  </si>
  <si>
    <t>https://www.imdb.com/title/tt0795421/</t>
  </si>
  <si>
    <t>Phyllida Lloyd</t>
  </si>
  <si>
    <t>tt7984734</t>
  </si>
  <si>
    <t>The Lighthouse</t>
  </si>
  <si>
    <t>https://www.imdb.com/title/tt7984734/</t>
  </si>
  <si>
    <t>tt0080083</t>
  </si>
  <si>
    <t>Vavilon XX</t>
  </si>
  <si>
    <t>https://www.imdb.com/title/tt0080083/</t>
  </si>
  <si>
    <t>Ivan Mikolaychuk</t>
  </si>
  <si>
    <t>tt8016764</t>
  </si>
  <si>
    <t>Hitler contro Picasso e gli altri</t>
  </si>
  <si>
    <t>https://www.imdb.com/title/tt8016764/</t>
  </si>
  <si>
    <t>Claudio Poli</t>
  </si>
  <si>
    <t>tt0805564</t>
  </si>
  <si>
    <t>Lars and the Real Girl</t>
  </si>
  <si>
    <t>https://www.imdb.com/title/tt0805564/</t>
  </si>
  <si>
    <t>tt0080678</t>
  </si>
  <si>
    <t>The Elephant Man</t>
  </si>
  <si>
    <t>https://www.imdb.com/title/tt0080678/</t>
  </si>
  <si>
    <t>tt8075202</t>
  </si>
  <si>
    <t>L'homme fidèle</t>
  </si>
  <si>
    <t>https://www.imdb.com/title/tt8075202/</t>
  </si>
  <si>
    <t>tt8079248</t>
  </si>
  <si>
    <t>Yesterday</t>
  </si>
  <si>
    <t>https://www.imdb.com/title/tt8079248/</t>
  </si>
  <si>
    <t>Comedy, Fantasy, Music, Romance</t>
  </si>
  <si>
    <t>tt0808417</t>
  </si>
  <si>
    <t>Persepolis</t>
  </si>
  <si>
    <t>https://www.imdb.com/title/tt0808417/</t>
  </si>
  <si>
    <t>Animation, Biography, Drama, History, War</t>
  </si>
  <si>
    <t>Marjane Satrapi, Vincent Paronnaud</t>
  </si>
  <si>
    <t>tt0809407</t>
  </si>
  <si>
    <t>A fost sau n-a fost?</t>
  </si>
  <si>
    <t>https://www.imdb.com/title/tt0809407/</t>
  </si>
  <si>
    <t>Corneliu Porumboiu</t>
  </si>
  <si>
    <t>tt8097030</t>
  </si>
  <si>
    <t>Turning Red</t>
  </si>
  <si>
    <t>https://www.imdb.com/title/tt8097030/</t>
  </si>
  <si>
    <t>Domee Shi</t>
  </si>
  <si>
    <t>tt0810819</t>
  </si>
  <si>
    <t>The Danish Girl</t>
  </si>
  <si>
    <t>https://www.imdb.com/title/tt0810819/</t>
  </si>
  <si>
    <t>Tom Hooper</t>
  </si>
  <si>
    <t>tt0081505</t>
  </si>
  <si>
    <t>The Shining</t>
  </si>
  <si>
    <t>https://www.imdb.com/title/tt0081505/</t>
  </si>
  <si>
    <t>tt8205028</t>
  </si>
  <si>
    <t>A feleségem története</t>
  </si>
  <si>
    <t>https://www.imdb.com/title/tt8205028/</t>
  </si>
  <si>
    <t>tt8205656</t>
  </si>
  <si>
    <t>Cherkasy</t>
  </si>
  <si>
    <t>https://www.imdb.com/title/tt8205656/</t>
  </si>
  <si>
    <t>Tymur Yashchenko</t>
  </si>
  <si>
    <t>tt8206668</t>
  </si>
  <si>
    <t>Bad Education</t>
  </si>
  <si>
    <t>https://www.imdb.com/title/tt8206668/</t>
  </si>
  <si>
    <t>Cory Finley</t>
  </si>
  <si>
    <t>tt8228288</t>
  </si>
  <si>
    <t>El hoyo</t>
  </si>
  <si>
    <t>https://www.imdb.com/title/tt8228288/</t>
  </si>
  <si>
    <t>Horror, Sci-Fi, Thriller</t>
  </si>
  <si>
    <t>Galder Gaztelu-Urrutia</t>
  </si>
  <si>
    <t>tt0082671</t>
  </si>
  <si>
    <t>Lola</t>
  </si>
  <si>
    <t>https://www.imdb.com/title/tt0082671/</t>
  </si>
  <si>
    <t>tt8268302</t>
  </si>
  <si>
    <t>Ya pratsyuyu na tsvyntari</t>
  </si>
  <si>
    <t>https://www.imdb.com/title/tt8268302/</t>
  </si>
  <si>
    <t>Alexey Taranenko</t>
  </si>
  <si>
    <t>tt0082933</t>
  </si>
  <si>
    <t>Possession</t>
  </si>
  <si>
    <t>https://www.imdb.com/title/tt0082933/</t>
  </si>
  <si>
    <t>Andrzej Zulawski</t>
  </si>
  <si>
    <t>tt8350360</t>
  </si>
  <si>
    <t>Annabelle Comes Home</t>
  </si>
  <si>
    <t>https://www.imdb.com/title/tt8350360/</t>
  </si>
  <si>
    <t>Gary Dauberman</t>
  </si>
  <si>
    <t>tt8355636</t>
  </si>
  <si>
    <t>Hero of My Time</t>
  </si>
  <si>
    <t>https://www.imdb.com/title/tt8355636/</t>
  </si>
  <si>
    <t>Tonya Noyabrova</t>
  </si>
  <si>
    <t>tt8359848</t>
  </si>
  <si>
    <t>Climax</t>
  </si>
  <si>
    <t>https://www.imdb.com/title/tt8359848/</t>
  </si>
  <si>
    <t>Drama, Horror, Music, Thriller</t>
  </si>
  <si>
    <t>tt8362736</t>
  </si>
  <si>
    <t>Make Up</t>
  </si>
  <si>
    <t>https://www.imdb.com/title/tt8362736/</t>
  </si>
  <si>
    <t>Claire Oakley</t>
  </si>
  <si>
    <t>tt8367814</t>
  </si>
  <si>
    <t>The Gentlemen</t>
  </si>
  <si>
    <t>https://www.imdb.com/title/tt8367814/</t>
  </si>
  <si>
    <t>Action, Crime</t>
  </si>
  <si>
    <t>Guy Ritchie</t>
  </si>
  <si>
    <t>tt8368406</t>
  </si>
  <si>
    <t>Vivarium</t>
  </si>
  <si>
    <t>https://www.imdb.com/title/tt8368406/</t>
  </si>
  <si>
    <t>Horror, Mystery, Sci-Fi</t>
  </si>
  <si>
    <t>Lorcan Finnegan</t>
  </si>
  <si>
    <t>tt0838221</t>
  </si>
  <si>
    <t>The Darjeeling Limited</t>
  </si>
  <si>
    <t>https://www.imdb.com/title/tt0838221/</t>
  </si>
  <si>
    <t>tt8404614</t>
  </si>
  <si>
    <t>The Two Popes</t>
  </si>
  <si>
    <t>https://www.imdb.com/title/tt8404614/</t>
  </si>
  <si>
    <t>Fernando Meirelles</t>
  </si>
  <si>
    <t>tt0844479</t>
  </si>
  <si>
    <t>The Collector</t>
  </si>
  <si>
    <t>https://www.imdb.com/title/tt0844479/</t>
  </si>
  <si>
    <t>Marcus Dunstan</t>
  </si>
  <si>
    <t>tt0844666</t>
  </si>
  <si>
    <t>Blackout</t>
  </si>
  <si>
    <t>https://www.imdb.com/title/tt0844666/</t>
  </si>
  <si>
    <t>5.0</t>
  </si>
  <si>
    <t>Rigoberto Castañeda</t>
  </si>
  <si>
    <t>tt0084503</t>
  </si>
  <si>
    <t>Pink Floyd: The Wall</t>
  </si>
  <si>
    <t>https://www.imdb.com/title/tt0084503/</t>
  </si>
  <si>
    <t>Drama, Fantasy, Music</t>
  </si>
  <si>
    <t>Alan Parker</t>
  </si>
  <si>
    <t>tt0084518</t>
  </si>
  <si>
    <t>Polyoty vo sne i nayavu</t>
  </si>
  <si>
    <t>https://www.imdb.com/title/tt0084518/</t>
  </si>
  <si>
    <t>Roman Balayan</t>
  </si>
  <si>
    <t>tt0084549</t>
  </si>
  <si>
    <t>Przypadek</t>
  </si>
  <si>
    <t>https://www.imdb.com/title/tt0084549/</t>
  </si>
  <si>
    <t>tt0084654</t>
  </si>
  <si>
    <t>Die Sehnsucht der Veronika Voss</t>
  </si>
  <si>
    <t>https://www.imdb.com/title/tt0084654/</t>
  </si>
  <si>
    <t>tt8503618</t>
  </si>
  <si>
    <t>Hamilton</t>
  </si>
  <si>
    <t>https://www.imdb.com/title/tt8503618/</t>
  </si>
  <si>
    <t>Biography, Drama, History, Musical</t>
  </si>
  <si>
    <t>Thomas Kail</t>
  </si>
  <si>
    <t>tt8526316</t>
  </si>
  <si>
    <t>20/20 Bezlyudna krayina</t>
  </si>
  <si>
    <t>https://www.imdb.com/title/tt8526316/</t>
  </si>
  <si>
    <t>Fantasy</t>
  </si>
  <si>
    <t>tt8577458</t>
  </si>
  <si>
    <t>High Fidelity</t>
  </si>
  <si>
    <t>https://www.imdb.com/title/tt8577458/</t>
  </si>
  <si>
    <t>tt0085794</t>
  </si>
  <si>
    <t>The King of Comedy</t>
  </si>
  <si>
    <t>https://www.imdb.com/title/tt0085794/</t>
  </si>
  <si>
    <t>tt8579674</t>
  </si>
  <si>
    <t>1917</t>
  </si>
  <si>
    <t>https://www.imdb.com/title/tt8579674/</t>
  </si>
  <si>
    <t>tt8580274</t>
  </si>
  <si>
    <t>Eurovision Song Contest: The Story of Fire Saga</t>
  </si>
  <si>
    <t>https://www.imdb.com/title/tt8580274/</t>
  </si>
  <si>
    <t>David Dobkin</t>
  </si>
  <si>
    <t>tt8593904</t>
  </si>
  <si>
    <t>Rifkin's Festival</t>
  </si>
  <si>
    <t>https://www.imdb.com/title/tt8593904/</t>
  </si>
  <si>
    <t>tt8613070</t>
  </si>
  <si>
    <t>Portrait de la jeune fille en feu</t>
  </si>
  <si>
    <t>https://www.imdb.com/title/tt8613070/</t>
  </si>
  <si>
    <t>tt0086250</t>
  </si>
  <si>
    <t>Scarface</t>
  </si>
  <si>
    <t>https://www.imdb.com/title/tt0086250/</t>
  </si>
  <si>
    <t>Brian De Palma</t>
  </si>
  <si>
    <t>tt8637440</t>
  </si>
  <si>
    <t>The Climb</t>
  </si>
  <si>
    <t>https://www.imdb.com/title/tt8637440/</t>
  </si>
  <si>
    <t>Michael Angelo Covino</t>
  </si>
  <si>
    <t>tt0086541</t>
  </si>
  <si>
    <t>Videodrome</t>
  </si>
  <si>
    <t>https://www.imdb.com/title/tt0086541/</t>
  </si>
  <si>
    <t>tt0086879</t>
  </si>
  <si>
    <t>Amadeus</t>
  </si>
  <si>
    <t>https://www.imdb.com/title/tt0086879/</t>
  </si>
  <si>
    <t>tt0086984</t>
  </si>
  <si>
    <t>Body Double</t>
  </si>
  <si>
    <t>https://www.imdb.com/title/tt0086984/</t>
  </si>
  <si>
    <t>tt0870984</t>
  </si>
  <si>
    <t>Antichrist</t>
  </si>
  <si>
    <t>https://www.imdb.com/title/tt0870984/</t>
  </si>
  <si>
    <t>tt8721424</t>
  </si>
  <si>
    <t>tick, tick...BOOM!</t>
  </si>
  <si>
    <t>https://www.imdb.com/title/tt8721424/</t>
  </si>
  <si>
    <t>Biography, Comedy, Drama, Musical</t>
  </si>
  <si>
    <t>Lin-Manuel Miranda</t>
  </si>
  <si>
    <t>tt8746478</t>
  </si>
  <si>
    <t>Fosse/Verdon</t>
  </si>
  <si>
    <t>https://www.imdb.com/title/tt8746478/</t>
  </si>
  <si>
    <t>tt8768344</t>
  </si>
  <si>
    <t>Bond</t>
  </si>
  <si>
    <t>https://www.imdb.com/title/tt8768344/</t>
  </si>
  <si>
    <t>Zhanna Ozirna</t>
  </si>
  <si>
    <t>tt8772262</t>
  </si>
  <si>
    <t>Midsommar</t>
  </si>
  <si>
    <t>https://www.imdb.com/title/tt8772262/</t>
  </si>
  <si>
    <t>tt8772296</t>
  </si>
  <si>
    <t>Euphoria</t>
  </si>
  <si>
    <t>https://www.imdb.com/title/tt8772296/</t>
  </si>
  <si>
    <t>tt0087884</t>
  </si>
  <si>
    <t>Paris, Texas</t>
  </si>
  <si>
    <t>https://www.imdb.com/title/tt0087884/</t>
  </si>
  <si>
    <t>tt0879843</t>
  </si>
  <si>
    <t>Katyn</t>
  </si>
  <si>
    <t>https://www.imdb.com/title/tt0879843/</t>
  </si>
  <si>
    <t>tt0088083</t>
  </si>
  <si>
    <t>Seksmisja</t>
  </si>
  <si>
    <t>https://www.imdb.com/title/tt0088083/</t>
  </si>
  <si>
    <t>Adventure, Comedy, Sci-Fi</t>
  </si>
  <si>
    <t>Juliusz Machulski</t>
  </si>
  <si>
    <t>tt0088258</t>
  </si>
  <si>
    <t>This Is Spinal Tap</t>
  </si>
  <si>
    <t>https://www.imdb.com/title/tt0088258/</t>
  </si>
  <si>
    <t>Rob Reiner</t>
  </si>
  <si>
    <t>tt8847712</t>
  </si>
  <si>
    <t>The French Dispatch</t>
  </si>
  <si>
    <t>https://www.imdb.com/title/tt8847712/</t>
  </si>
  <si>
    <t>tt8850222</t>
  </si>
  <si>
    <t>Busanhaeng 2: Bando</t>
  </si>
  <si>
    <t>https://www.imdb.com/title/tt8850222/</t>
  </si>
  <si>
    <t>Action, Horror, Thriller</t>
  </si>
  <si>
    <t>Sang-ho Yeon</t>
  </si>
  <si>
    <t>tt0088763</t>
  </si>
  <si>
    <t>Back to the Future</t>
  </si>
  <si>
    <t>https://www.imdb.com/title/tt0088763/</t>
  </si>
  <si>
    <t>Robert Zemeckis</t>
  </si>
  <si>
    <t>tt0887883</t>
  </si>
  <si>
    <t>Burn After Reading</t>
  </si>
  <si>
    <t>https://www.imdb.com/title/tt0887883/</t>
  </si>
  <si>
    <t>tt0088847</t>
  </si>
  <si>
    <t>The Breakfast Club</t>
  </si>
  <si>
    <t>https://www.imdb.com/title/tt0088847/</t>
  </si>
  <si>
    <t>John Hughes</t>
  </si>
  <si>
    <t>tt8897388</t>
  </si>
  <si>
    <t>Rivale</t>
  </si>
  <si>
    <t>https://www.imdb.com/title/tt8897388/</t>
  </si>
  <si>
    <t>Marcus Lenz</t>
  </si>
  <si>
    <t>tt8946378</t>
  </si>
  <si>
    <t>Knives Out</t>
  </si>
  <si>
    <t>https://www.imdb.com/title/tt8946378/</t>
  </si>
  <si>
    <t>Comedy, Crime, Drama, Mystery, Thriller</t>
  </si>
  <si>
    <t>Rian Johnson</t>
  </si>
  <si>
    <t>tt8963708</t>
  </si>
  <si>
    <t>And Then We Danced</t>
  </si>
  <si>
    <t>https://www.imdb.com/title/tt8963708/</t>
  </si>
  <si>
    <t>Levan Akin</t>
  </si>
  <si>
    <t>tt9059704</t>
  </si>
  <si>
    <t>An American Pickle</t>
  </si>
  <si>
    <t>https://www.imdb.com/title/tt9059704/</t>
  </si>
  <si>
    <t>Brandon Trost</t>
  </si>
  <si>
    <t>tt9059760</t>
  </si>
  <si>
    <t>Normal People</t>
  </si>
  <si>
    <t>https://www.imdb.com/title/tt9059760/</t>
  </si>
  <si>
    <t>tt0090605</t>
  </si>
  <si>
    <t>Aliens</t>
  </si>
  <si>
    <t>https://www.imdb.com/title/tt0090605/</t>
  </si>
  <si>
    <t>tt0090756</t>
  </si>
  <si>
    <t>Blue Velvet</t>
  </si>
  <si>
    <t>https://www.imdb.com/title/tt0090756/</t>
  </si>
  <si>
    <t>tt9100054</t>
  </si>
  <si>
    <t>The Lost Daughter</t>
  </si>
  <si>
    <t>https://www.imdb.com/title/tt9100054/</t>
  </si>
  <si>
    <t>Maggie Gyllenhaal</t>
  </si>
  <si>
    <t>tt0910970</t>
  </si>
  <si>
    <t>WALL·E</t>
  </si>
  <si>
    <t>https://www.imdb.com/title/tt0910970/</t>
  </si>
  <si>
    <t>Animation, Adventure, Family, Sci-Fi</t>
  </si>
  <si>
    <t>Andrew Stanton</t>
  </si>
  <si>
    <t>tt9127488</t>
  </si>
  <si>
    <t>Postal</t>
  </si>
  <si>
    <t>https://www.imdb.com/title/tt9127488/</t>
  </si>
  <si>
    <t>Tyler Falbo</t>
  </si>
  <si>
    <t>State Institution</t>
  </si>
  <si>
    <t>https://www.imdb.com/title/tt9129218/</t>
  </si>
  <si>
    <t>Yarema Malashchuk, Roman Khimei</t>
  </si>
  <si>
    <t>tt9134488</t>
  </si>
  <si>
    <t>Parapetówka</t>
  </si>
  <si>
    <t>https://www.imdb.com/title/tt9134488/</t>
  </si>
  <si>
    <t>tt0914798</t>
  </si>
  <si>
    <t>The Boy in the Striped Pajamas</t>
  </si>
  <si>
    <t>https://www.imdb.com/title/tt0914798/</t>
  </si>
  <si>
    <t>Mark Herman</t>
  </si>
  <si>
    <t>tt9172422</t>
  </si>
  <si>
    <t>La Belle Époque</t>
  </si>
  <si>
    <t>https://www.imdb.com/title/tt9172422/</t>
  </si>
  <si>
    <t>Nicolas Bedos</t>
  </si>
  <si>
    <t>tt9185206</t>
  </si>
  <si>
    <t>Are You There God? It's Me, Margaret.</t>
  </si>
  <si>
    <t>https://www.imdb.com/title/tt9185206/</t>
  </si>
  <si>
    <t>Kelly Fremon Craig</t>
  </si>
  <si>
    <t>tt0092005</t>
  </si>
  <si>
    <t>Stand by Me</t>
  </si>
  <si>
    <t>https://www.imdb.com/title/tt0092005/</t>
  </si>
  <si>
    <t>tt9214832</t>
  </si>
  <si>
    <t>Emma.</t>
  </si>
  <si>
    <t>https://www.imdb.com/title/tt9214832/</t>
  </si>
  <si>
    <t>Autumn de Wilde</t>
  </si>
  <si>
    <t>tt0092337</t>
  </si>
  <si>
    <t>Dekalog</t>
  </si>
  <si>
    <t>https://www.imdb.com/title/tt0092337/</t>
  </si>
  <si>
    <t>tt9243804</t>
  </si>
  <si>
    <t>The Green Knight</t>
  </si>
  <si>
    <t>https://www.imdb.com/title/tt9243804/</t>
  </si>
  <si>
    <t>Adventure, Drama, Fantasy</t>
  </si>
  <si>
    <t>David Lowery</t>
  </si>
  <si>
    <t>tt0927619</t>
  </si>
  <si>
    <t>Louis C.K.: Shameless</t>
  </si>
  <si>
    <t>https://www.imdb.com/title/tt0927619/</t>
  </si>
  <si>
    <t>Steven J. Santos</t>
  </si>
  <si>
    <t>tt9316182</t>
  </si>
  <si>
    <t>It Was Showering in Manchester</t>
  </si>
  <si>
    <t>https://www.imdb.com/title/tt9316182/</t>
  </si>
  <si>
    <t>Valeria Kalchenko, Antonio Lukich</t>
  </si>
  <si>
    <t>tt0093191</t>
  </si>
  <si>
    <t>Der Himmel über Berlin</t>
  </si>
  <si>
    <t>https://www.imdb.com/title/tt0093191/</t>
  </si>
  <si>
    <t>tt9344894</t>
  </si>
  <si>
    <t>End-O</t>
  </si>
  <si>
    <t>https://www.imdb.com/title/tt9344894/</t>
  </si>
  <si>
    <t>Alice Seabright</t>
  </si>
  <si>
    <t>tt9421570</t>
  </si>
  <si>
    <t>The Guilty</t>
  </si>
  <si>
    <t>https://www.imdb.com/title/tt9421570/</t>
  </si>
  <si>
    <t>Antoine Fuqua</t>
  </si>
  <si>
    <t>tt9431740</t>
  </si>
  <si>
    <t>Evge</t>
  </si>
  <si>
    <t>https://www.imdb.com/title/tt9431740/</t>
  </si>
  <si>
    <t>tt9432142</t>
  </si>
  <si>
    <t>Seni Sevem</t>
  </si>
  <si>
    <t>https://www.imdb.com/title/tt9432142/</t>
  </si>
  <si>
    <t>tt0094332</t>
  </si>
  <si>
    <t>The Witches of Eastwick</t>
  </si>
  <si>
    <t>https://www.imdb.com/title/tt0094332/</t>
  </si>
  <si>
    <t>Comedy, Fantasy, Horror</t>
  </si>
  <si>
    <t>George Miller</t>
  </si>
  <si>
    <t>tt9455468</t>
  </si>
  <si>
    <t>Pamfir</t>
  </si>
  <si>
    <t>https://www.imdb.com/title/tt9455468/</t>
  </si>
  <si>
    <t>Action, Drama, Thriller</t>
  </si>
  <si>
    <t>Dmytro Sukholytkyy-Sobchuk</t>
  </si>
  <si>
    <t>tt0094721</t>
  </si>
  <si>
    <t>Beetlejuice</t>
  </si>
  <si>
    <t>https://www.imdb.com/title/tt0094721/</t>
  </si>
  <si>
    <t>Tim Burton</t>
  </si>
  <si>
    <t>tt0947798</t>
  </si>
  <si>
    <t>Black Swan</t>
  </si>
  <si>
    <t>https://www.imdb.com/title/tt0947798/</t>
  </si>
  <si>
    <t>tt9480644</t>
  </si>
  <si>
    <t>70 Streets</t>
  </si>
  <si>
    <t>https://www.imdb.com/title/tt9480644/</t>
  </si>
  <si>
    <t>Maks Lyzhov</t>
  </si>
  <si>
    <t>tt9484998</t>
  </si>
  <si>
    <t>Palm Springs</t>
  </si>
  <si>
    <t>https://www.imdb.com/title/tt9484998/</t>
  </si>
  <si>
    <t>Comedy, Fantasy, Mystery, Romance</t>
  </si>
  <si>
    <t>Max Barbakow</t>
  </si>
  <si>
    <t>tt0095467</t>
  </si>
  <si>
    <t>Krótki film o milosci</t>
  </si>
  <si>
    <t>https://www.imdb.com/title/tt0095467/</t>
  </si>
  <si>
    <t>tt0095468</t>
  </si>
  <si>
    <t>Krótki film o zabijaniu</t>
  </si>
  <si>
    <t>https://www.imdb.com/title/tt0095468/</t>
  </si>
  <si>
    <t>tt9549128</t>
  </si>
  <si>
    <t>National Museum</t>
  </si>
  <si>
    <t>https://www.imdb.com/title/tt9549128/</t>
  </si>
  <si>
    <t>Andrei Zagdansky</t>
  </si>
  <si>
    <t>tt0095675</t>
  </si>
  <si>
    <t>Mujeres al borde de un ataque de "nervios"</t>
  </si>
  <si>
    <t>https://www.imdb.com/title/tt0095675/</t>
  </si>
  <si>
    <t>tt0095705</t>
  </si>
  <si>
    <t>The Naked Gun: From the Files of Police Squad!</t>
  </si>
  <si>
    <t>https://www.imdb.com/title/tt0095705/</t>
  </si>
  <si>
    <t>David Zucker</t>
  </si>
  <si>
    <t>tt0959337</t>
  </si>
  <si>
    <t>Revolutionary Road</t>
  </si>
  <si>
    <t>https://www.imdb.com/title/tt0959337/</t>
  </si>
  <si>
    <t>tt9620288</t>
  </si>
  <si>
    <t>King Richard</t>
  </si>
  <si>
    <t>https://www.imdb.com/title/tt9620288/</t>
  </si>
  <si>
    <t>Biography, Drama, Sport</t>
  </si>
  <si>
    <t>Reinaldo Marcus Green</t>
  </si>
  <si>
    <t>tt9620292</t>
  </si>
  <si>
    <t>Promising Young Woman</t>
  </si>
  <si>
    <t>https://www.imdb.com/title/tt9620292/</t>
  </si>
  <si>
    <t>tt9639470</t>
  </si>
  <si>
    <t>Last Night in Soho</t>
  </si>
  <si>
    <t>https://www.imdb.com/title/tt9639470/</t>
  </si>
  <si>
    <t>tt0096438</t>
  </si>
  <si>
    <t>Who Framed Roger Rabbit</t>
  </si>
  <si>
    <t>https://www.imdb.com/title/tt0096438/</t>
  </si>
  <si>
    <t>Animation, Adventure, Comedy, Crime, Family, Fantasy, Mystery</t>
  </si>
  <si>
    <t>tt0096863</t>
  </si>
  <si>
    <t>Az én XX. századom</t>
  </si>
  <si>
    <t>https://www.imdb.com/title/tt0096863/</t>
  </si>
  <si>
    <t>tt0096874</t>
  </si>
  <si>
    <t>Back to the Future Part II</t>
  </si>
  <si>
    <t>https://www.imdb.com/title/tt0096874/</t>
  </si>
  <si>
    <t>tt0970179</t>
  </si>
  <si>
    <t>Hugo</t>
  </si>
  <si>
    <t>https://www.imdb.com/title/tt0970179/</t>
  </si>
  <si>
    <t>Adventure, Drama, Family, Fantasy, Mystery</t>
  </si>
  <si>
    <t>tt0970468</t>
  </si>
  <si>
    <t>Miss Pettigrew Lives for a Day</t>
  </si>
  <si>
    <t>https://www.imdb.com/title/tt0970468/</t>
  </si>
  <si>
    <t>Bharat Nalluri</t>
  </si>
  <si>
    <t>tt0097165</t>
  </si>
  <si>
    <t>Dead Poets Society</t>
  </si>
  <si>
    <t>https://www.imdb.com/title/tt0097165/</t>
  </si>
  <si>
    <t>tt9734324</t>
  </si>
  <si>
    <t>Mustard in the gardens</t>
  </si>
  <si>
    <t>https://www.imdb.com/title/tt9734324/</t>
  </si>
  <si>
    <t>Piotr Armianovski</t>
  </si>
  <si>
    <t>tt0976051</t>
  </si>
  <si>
    <t>The Reader</t>
  </si>
  <si>
    <t>https://www.imdb.com/title/tt0976051/</t>
  </si>
  <si>
    <t>tt9764362</t>
  </si>
  <si>
    <t>The Menu</t>
  </si>
  <si>
    <t>https://www.imdb.com/title/tt9764362/</t>
  </si>
  <si>
    <t>Mark Mylod</t>
  </si>
  <si>
    <t>tt0098258</t>
  </si>
  <si>
    <t>Say Anything...</t>
  </si>
  <si>
    <t>https://www.imdb.com/title/tt0098258/</t>
  </si>
  <si>
    <t>Cameron Crowe</t>
  </si>
  <si>
    <t>tt9827854</t>
  </si>
  <si>
    <t>Hollywood</t>
  </si>
  <si>
    <t>https://www.imdb.com/title/tt9827854/</t>
  </si>
  <si>
    <t>tt0098327</t>
  </si>
  <si>
    <t>Der siebente Kontinent</t>
  </si>
  <si>
    <t>https://www.imdb.com/title/tt0098327/</t>
  </si>
  <si>
    <t>tt0098532</t>
  </si>
  <si>
    <t>Tulitikkutehtaan tyttö</t>
  </si>
  <si>
    <t>https://www.imdb.com/title/tt0098532/</t>
  </si>
  <si>
    <t>Aki Kaurismäki</t>
  </si>
  <si>
    <t>tt0098577</t>
  </si>
  <si>
    <t>Vampire's Kiss</t>
  </si>
  <si>
    <t>https://www.imdb.com/title/tt0098577/</t>
  </si>
  <si>
    <t>Comedy, Crime, Fantasy, Horror</t>
  </si>
  <si>
    <t>Robert Bierman</t>
  </si>
  <si>
    <t>tt0098635</t>
  </si>
  <si>
    <t>When Harry Met Sally...</t>
  </si>
  <si>
    <t>https://www.imdb.com/title/tt0098635/</t>
  </si>
  <si>
    <t>tt0993846</t>
  </si>
  <si>
    <t>The Wolf of Wall Street</t>
  </si>
  <si>
    <t>https://www.imdb.com/title/tt0993846/</t>
  </si>
  <si>
    <t>tt0996605</t>
  </si>
  <si>
    <t>Les chansons d'amour</t>
  </si>
  <si>
    <t>https://www.imdb.com/title/tt0996605/</t>
  </si>
  <si>
    <t>tt0099685</t>
  </si>
  <si>
    <t>Goodfellas</t>
  </si>
  <si>
    <t>https://www.imdb.com/title/tt0099685/</t>
  </si>
  <si>
    <t>Ontology</t>
  </si>
  <si>
    <t>Hovering over us</t>
  </si>
  <si>
    <t>Bulunkul</t>
  </si>
  <si>
    <t>Heiresses</t>
  </si>
  <si>
    <t>No Address</t>
  </si>
  <si>
    <t>M</t>
  </si>
  <si>
    <t>12 chairs</t>
  </si>
  <si>
    <t>Farewell to cinema</t>
  </si>
  <si>
    <t>Izrail Goldstein</t>
  </si>
  <si>
    <t>Country</t>
  </si>
  <si>
    <t>Ukraine</t>
  </si>
  <si>
    <t>France</t>
  </si>
  <si>
    <t>Oleksandr Surovtsov</t>
  </si>
  <si>
    <t>Olivier Dury</t>
  </si>
  <si>
    <t>Silvia Venegas Venegas</t>
  </si>
  <si>
    <t>Spain</t>
  </si>
  <si>
    <t>Hanna Kaihlanen</t>
  </si>
  <si>
    <t>Finland</t>
  </si>
  <si>
    <t>Experimental</t>
  </si>
  <si>
    <t>USSR</t>
  </si>
  <si>
    <t>The Netherlands</t>
  </si>
  <si>
    <t>USA</t>
  </si>
  <si>
    <t>Poland</t>
  </si>
  <si>
    <t>I was there</t>
  </si>
  <si>
    <t>Chi-Jang Yin</t>
  </si>
  <si>
    <t>Canada</t>
  </si>
  <si>
    <t>Alanis Obomsawin</t>
  </si>
  <si>
    <t>The UK</t>
  </si>
  <si>
    <t>Mexico</t>
  </si>
  <si>
    <t>New Zealand</t>
  </si>
  <si>
    <t>Gender</t>
  </si>
  <si>
    <t>W</t>
  </si>
  <si>
    <t>Ireland</t>
  </si>
  <si>
    <t>Norway</t>
  </si>
  <si>
    <t>Czechoslovakia</t>
  </si>
  <si>
    <t>Ukraine, USSR</t>
  </si>
  <si>
    <t>Germany</t>
  </si>
  <si>
    <t>Philipp Kadelbach</t>
  </si>
  <si>
    <t>Serbia</t>
  </si>
  <si>
    <t>Dawn Prestwich, Nicole Yorkin</t>
  </si>
  <si>
    <t>Hugh Laurie</t>
  </si>
  <si>
    <t>Slovakia</t>
  </si>
  <si>
    <t>Sweden</t>
  </si>
  <si>
    <t>Scott Frank</t>
  </si>
  <si>
    <t>Denmark</t>
  </si>
  <si>
    <t>Amy Sherman-Palladino</t>
  </si>
  <si>
    <t>Tony McNamara</t>
  </si>
  <si>
    <t>Indonesia</t>
  </si>
  <si>
    <t>Hungary</t>
  </si>
  <si>
    <t>Iran</t>
  </si>
  <si>
    <t>Italy</t>
  </si>
  <si>
    <t xml:space="preserve">Matt Duffer, Ross Duffer </t>
  </si>
  <si>
    <t>Natalka Vorozhbyt</t>
  </si>
  <si>
    <t>South Korea</t>
  </si>
  <si>
    <t>The Uk</t>
  </si>
  <si>
    <t>Mark Gatiss, Steven Moffat</t>
  </si>
  <si>
    <t>Argentina</t>
  </si>
  <si>
    <t>Czech Republic</t>
  </si>
  <si>
    <t>Australia</t>
  </si>
  <si>
    <t>Estonia</t>
  </si>
  <si>
    <t>Lenny Abrahamson, Hettie Macdonald</t>
  </si>
  <si>
    <t>Slovenia</t>
  </si>
  <si>
    <t>Turkey</t>
  </si>
  <si>
    <t>Hong Kong</t>
  </si>
  <si>
    <t>Maya Deren</t>
  </si>
  <si>
    <t>Lithuania</t>
  </si>
  <si>
    <t>Venezuela</t>
  </si>
  <si>
    <t>Belarus</t>
  </si>
  <si>
    <t>Romania</t>
  </si>
  <si>
    <t>Alice Oseman</t>
  </si>
  <si>
    <t>Patrick Rotman, Nicolas Werthm François Aymé</t>
  </si>
  <si>
    <t>David Crane, Marta Kauffman</t>
  </si>
  <si>
    <t>Steven Levenson, Thomas Kail</t>
  </si>
  <si>
    <t>Phoebe Waller-Bridge</t>
  </si>
  <si>
    <t>Baran bo Odar</t>
  </si>
  <si>
    <t>Craig Mazin, Johan Renck</t>
  </si>
  <si>
    <t>Tom Tykwer, Achim von Borries, Henk Handloegten</t>
  </si>
  <si>
    <t>Georgia</t>
  </si>
  <si>
    <t>Craig Viveiros</t>
  </si>
  <si>
    <t>Belgium</t>
  </si>
  <si>
    <t>Sergey Bukovsky</t>
  </si>
  <si>
    <t xml:space="preserve">Maciej Buchwald, Kordian Kądziela </t>
  </si>
  <si>
    <t>Title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</si>
</sst>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0" fillId="0" borderId="0" xfId="0" applyAlignment="1">
      <alignment wrapText="1"/>
    </xf>
    <xf numFmtId="0" fontId="0" fillId="0" borderId="0" xfId="0" applyAlignment="1">
      <alignment horizontal="left"/>
    </xf>
    <xf numFmtId="20" fontId="0" fillId="0" borderId="0" xfId="0" applyNumberFormat="1" applyAlignment="1">
      <alignment horizontal="left"/>
    </xf>
  </cellXfs>
  <cellStyles count="1">
    <cellStyle name="Normal" xfId="0" builtinId="0"/>
  </cellStyles>
  <dxfs count="22"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833DC6D-A969-4603-A9EA-AB0DA45AB482}" autoFormatId="16" applyNumberFormats="0" applyBorderFormats="0" applyFontFormats="0" applyPatternFormats="0" applyAlignmentFormats="0" applyWidthHeightFormats="0">
  <queryTableRefresh nextId="19" unboundColumnsRight="1">
    <queryTableFields count="15">
      <queryTableField id="1" name="Const" tableColumnId="1"/>
      <queryTableField id="2" name="Your Rating" tableColumnId="2"/>
      <queryTableField id="3" name="Date Rated" tableColumnId="3"/>
      <queryTableField id="4" name="Title" tableColumnId="4"/>
      <queryTableField id="5" name="URL" tableColumnId="5"/>
      <queryTableField id="6" name="Title Type" tableColumnId="6"/>
      <queryTableField id="7" name="IMDb Rating" tableColumnId="7"/>
      <queryTableField id="8" name="Runtime (mins)" tableColumnId="8"/>
      <queryTableField id="9" name="Year" tableColumnId="9"/>
      <queryTableField id="10" name="Genres" tableColumnId="10"/>
      <queryTableField id="11" name="Num Votes" tableColumnId="11"/>
      <queryTableField id="12" name="Release Date" tableColumnId="12"/>
      <queryTableField id="15" dataBound="0" tableColumnId="15"/>
      <queryTableField id="13" name="Directors" tableColumnId="13"/>
      <queryTableField id="16" dataBound="0" tableColumnId="1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BE719C33-491C-4729-9ACF-93A62980E597}" autoFormatId="16" applyNumberFormats="0" applyBorderFormats="0" applyFontFormats="0" applyPatternFormats="0" applyAlignmentFormats="0" applyWidthHeightFormats="0">
  <queryTableRefresh nextId="19" unboundColumnsRight="1">
    <queryTableFields count="15">
      <queryTableField id="1" name="Const" tableColumnId="1"/>
      <queryTableField id="2" name="Your Rating" tableColumnId="2"/>
      <queryTableField id="3" name="Date Rated" tableColumnId="3"/>
      <queryTableField id="4" name="Title" tableColumnId="4"/>
      <queryTableField id="5" name="URL" tableColumnId="5"/>
      <queryTableField id="6" name="Title Type" tableColumnId="6"/>
      <queryTableField id="7" name="IMDb Rating" tableColumnId="7"/>
      <queryTableField id="8" name="Runtime (mins)" tableColumnId="8"/>
      <queryTableField id="9" name="Year" tableColumnId="9"/>
      <queryTableField id="10" name="Genres" tableColumnId="10"/>
      <queryTableField id="11" name="Num Votes" tableColumnId="11"/>
      <queryTableField id="12" name="Release Date" tableColumnId="12"/>
      <queryTableField id="15" dataBound="0" tableColumnId="15"/>
      <queryTableField id="13" name="Directors" tableColumnId="13"/>
      <queryTableField id="16" dataBound="0" tableColumnId="1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0CE401B-B8CA-45B9-A288-D585293FCC9E}" name="imdb_ratings" displayName="imdb_ratings" ref="A1:O1048576" tableType="queryTable" totalsRowShown="0">
  <autoFilter ref="A1:O1048576" xr:uid="{80CE401B-B8CA-45B9-A288-D585293FCC9E}"/>
  <sortState xmlns:xlrd2="http://schemas.microsoft.com/office/spreadsheetml/2017/richdata2" ref="A2:O782">
    <sortCondition ref="A1:A1048576"/>
  </sortState>
  <tableColumns count="15">
    <tableColumn id="1" xr3:uid="{0C9AF6BF-B00A-4D8E-8CC7-40B9DE0673AB}" uniqueName="1" name="Const" queryTableFieldId="1" dataDxfId="21"/>
    <tableColumn id="2" xr3:uid="{F602E41C-ADBD-498E-9608-59FA1327ABB5}" uniqueName="2" name="Your Rating" queryTableFieldId="2"/>
    <tableColumn id="3" xr3:uid="{6436A711-FDD0-4D7E-AE77-5B1DE1490F03}" uniqueName="3" name="Date Rated" queryTableFieldId="3" dataDxfId="20"/>
    <tableColumn id="4" xr3:uid="{B325558B-C078-40A3-82ED-E063573EF077}" uniqueName="4" name="Title" queryTableFieldId="4" dataDxfId="19"/>
    <tableColumn id="5" xr3:uid="{ACF601FA-EEBF-490E-BDA1-60F3522AB496}" uniqueName="5" name="URL" queryTableFieldId="5" dataDxfId="18"/>
    <tableColumn id="6" xr3:uid="{E655231A-9BB0-47BA-8552-37BA2B268288}" uniqueName="6" name="Title Type" queryTableFieldId="6" dataDxfId="17"/>
    <tableColumn id="7" xr3:uid="{D72A98D2-DC5E-436B-9FE3-5C106236593C}" uniqueName="7" name="IMDb Rating" queryTableFieldId="7" dataDxfId="16"/>
    <tableColumn id="8" xr3:uid="{FAD215B3-CED7-4694-8010-504E3E1FEF80}" uniqueName="8" name="Runtime (mins)" queryTableFieldId="8"/>
    <tableColumn id="9" xr3:uid="{542445F2-CBB6-49DD-9D25-F1083A6B4EA0}" uniqueName="9" name="Year" queryTableFieldId="9"/>
    <tableColumn id="10" xr3:uid="{C9D989C1-7589-4076-BFA9-B5192E8AF721}" uniqueName="10" name="Genres" queryTableFieldId="10" dataDxfId="15"/>
    <tableColumn id="11" xr3:uid="{B456BBA2-7823-45F2-A14E-8A479AF5362D}" uniqueName="11" name="Num Votes" queryTableFieldId="11"/>
    <tableColumn id="12" xr3:uid="{6FC2D595-7956-4566-8947-533D0DFE3EB3}" uniqueName="12" name="Release Date" queryTableFieldId="12" dataDxfId="14"/>
    <tableColumn id="15" xr3:uid="{23F810DB-78B3-46C4-AFA4-50AEF1F6DEA7}" uniqueName="15" name="Country" queryTableFieldId="15" dataDxfId="13"/>
    <tableColumn id="13" xr3:uid="{3E5278DA-8F53-44E7-9C00-AABC71EE2376}" uniqueName="13" name="Directors" queryTableFieldId="13" dataDxfId="12"/>
    <tableColumn id="16" xr3:uid="{1BFBEAE1-25A3-4DC4-9991-058BF36B7871}" uniqueName="16" name="Gender" queryTableFieldId="16" dataDxfId="11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56AEF8E-AB4B-4A1F-8BBB-D3D08889B984}" name="imdb_ratings3" displayName="imdb_ratings3" ref="A1:O1048576" tableType="queryTable" totalsRowShown="0">
  <autoFilter ref="A1:O1048576" xr:uid="{F56AEF8E-AB4B-4A1F-8BBB-D3D08889B984}"/>
  <tableColumns count="15">
    <tableColumn id="1" xr3:uid="{45BA805F-AA04-4E2F-9B33-8C4F23D8F4BE}" uniqueName="1" name="Const" queryTableFieldId="1" dataDxfId="10"/>
    <tableColumn id="2" xr3:uid="{CE99FC1D-8A0C-4A89-8B1E-2C3B7051A1D5}" uniqueName="2" name="Your Rating" queryTableFieldId="2"/>
    <tableColumn id="3" xr3:uid="{10C13083-7411-4034-9793-E69AFAC72D4E}" uniqueName="3" name="Date Rated" queryTableFieldId="3" dataDxfId="9"/>
    <tableColumn id="4" xr3:uid="{C99D3E87-C6AB-41EE-A2BF-4E5008F9EC0B}" uniqueName="4" name="Title" queryTableFieldId="4" dataDxfId="8"/>
    <tableColumn id="5" xr3:uid="{D51FEF93-86A0-4517-97DA-1888DA9B9B00}" uniqueName="5" name="URL" queryTableFieldId="5" dataDxfId="7"/>
    <tableColumn id="6" xr3:uid="{796E4F26-0321-48C2-9ED4-51C1396647E5}" uniqueName="6" name="Title Type" queryTableFieldId="6" dataDxfId="6"/>
    <tableColumn id="7" xr3:uid="{959AA6F9-4FEB-4759-BD80-57070C76A3F9}" uniqueName="7" name="IMDb Rating" queryTableFieldId="7" dataDxfId="5"/>
    <tableColumn id="8" xr3:uid="{EA9C135B-5E1A-435C-8CD3-9881392A5608}" uniqueName="8" name="Runtime (mins)" queryTableFieldId="8"/>
    <tableColumn id="9" xr3:uid="{4842DC81-96F6-4E6F-A5A8-F2FED3D93844}" uniqueName="9" name="Year" queryTableFieldId="9"/>
    <tableColumn id="10" xr3:uid="{492F1D69-F866-4230-B0CF-948EC57E4768}" uniqueName="10" name="Genres" queryTableFieldId="10" dataDxfId="4"/>
    <tableColumn id="11" xr3:uid="{FE9D6D83-E69D-49BA-8D63-87D00D53B1F8}" uniqueName="11" name="Num Votes" queryTableFieldId="11"/>
    <tableColumn id="12" xr3:uid="{87A121D1-E1E7-460A-B267-DF993C02FB0E}" uniqueName="12" name="Release Date" queryTableFieldId="12" dataDxfId="3"/>
    <tableColumn id="15" xr3:uid="{4C4088D4-CF71-4B51-B0AA-2B7BFE00681E}" uniqueName="15" name="Country" queryTableFieldId="15" dataDxfId="2"/>
    <tableColumn id="13" xr3:uid="{F23B8B86-61DD-41F0-9B07-2D8CE0428C33}" uniqueName="13" name="Directors" queryTableFieldId="13" dataDxfId="1"/>
    <tableColumn id="16" xr3:uid="{C8C8722B-13E2-4C9D-B61C-6B1D58FB25F2}" uniqueName="16" name="Gender" queryTableFieldId="1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55F4D1-E6CA-40BA-8D55-8605BC1AE52C}">
  <dimension ref="A1:O782"/>
  <sheetViews>
    <sheetView zoomScale="115" zoomScaleNormal="85" workbookViewId="0">
      <selection sqref="A1:XFD1048576"/>
    </sheetView>
  </sheetViews>
  <sheetFormatPr defaultRowHeight="14.4" x14ac:dyDescent="0.3"/>
  <cols>
    <col min="1" max="1" width="10.33203125" bestFit="1" customWidth="1"/>
    <col min="2" max="2" width="12.88671875" bestFit="1" customWidth="1"/>
    <col min="3" max="3" width="12.44140625" style="1" bestFit="1" customWidth="1"/>
    <col min="4" max="4" width="37.6640625" customWidth="1"/>
    <col min="5" max="5" width="11.44140625" customWidth="1"/>
    <col min="6" max="6" width="11.33203125" customWidth="1"/>
    <col min="7" max="7" width="6.5546875" customWidth="1"/>
    <col min="8" max="8" width="8.109375" customWidth="1"/>
    <col min="9" max="9" width="6.88671875" customWidth="1"/>
    <col min="10" max="10" width="26.5546875" customWidth="1"/>
    <col min="11" max="11" width="12.5546875" customWidth="1"/>
    <col min="12" max="13" width="13.88671875" style="1" customWidth="1"/>
    <col min="14" max="14" width="37.5546875" customWidth="1"/>
    <col min="15" max="15" width="1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3226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3153</v>
      </c>
      <c r="N1" t="s">
        <v>11</v>
      </c>
      <c r="O1" t="s">
        <v>3174</v>
      </c>
    </row>
    <row r="2" spans="1:15" x14ac:dyDescent="0.3">
      <c r="A2">
        <f>AVERAGE(imdb_ratings[[#All],[Your Rating]])</f>
        <v>6.7221510883482711</v>
      </c>
      <c r="B2">
        <v>9</v>
      </c>
      <c r="C2" s="1">
        <v>43415</v>
      </c>
      <c r="D2" t="s">
        <v>282</v>
      </c>
      <c r="E2" t="s">
        <v>283</v>
      </c>
      <c r="F2" t="s">
        <v>216</v>
      </c>
      <c r="G2" t="s">
        <v>284</v>
      </c>
      <c r="H2">
        <v>5280</v>
      </c>
      <c r="I2">
        <v>1994</v>
      </c>
      <c r="J2" t="s">
        <v>225</v>
      </c>
      <c r="K2">
        <v>1066023</v>
      </c>
      <c r="L2" s="1">
        <v>34599</v>
      </c>
      <c r="M2" s="1" t="s">
        <v>3165</v>
      </c>
      <c r="N2" t="s">
        <v>3215</v>
      </c>
    </row>
    <row r="3" spans="1:15" x14ac:dyDescent="0.3">
      <c r="A3">
        <f>AVERAGE(imdb_ratings[Your Rating])</f>
        <v>6.7221510883482711</v>
      </c>
      <c r="B3">
        <v>6</v>
      </c>
      <c r="C3" s="1">
        <v>45185</v>
      </c>
      <c r="D3" t="s">
        <v>2966</v>
      </c>
      <c r="E3" t="s">
        <v>2967</v>
      </c>
      <c r="F3" t="s">
        <v>47</v>
      </c>
      <c r="G3" t="s">
        <v>25</v>
      </c>
      <c r="H3">
        <v>9</v>
      </c>
      <c r="I3">
        <v>2018</v>
      </c>
      <c r="J3" t="s">
        <v>48</v>
      </c>
      <c r="L3" s="1">
        <v>43251</v>
      </c>
      <c r="M3" s="1" t="s">
        <v>3154</v>
      </c>
      <c r="N3" t="s">
        <v>2968</v>
      </c>
      <c r="O3" t="s">
        <v>3149</v>
      </c>
    </row>
    <row r="4" spans="1:15" x14ac:dyDescent="0.3">
      <c r="A4" t="s">
        <v>1910</v>
      </c>
      <c r="B4">
        <v>6</v>
      </c>
      <c r="C4" s="1">
        <v>45113</v>
      </c>
      <c r="D4" t="s">
        <v>1911</v>
      </c>
      <c r="E4" t="s">
        <v>1912</v>
      </c>
      <c r="F4" t="s">
        <v>47</v>
      </c>
      <c r="G4" t="s">
        <v>369</v>
      </c>
      <c r="H4">
        <v>13</v>
      </c>
      <c r="I4">
        <v>1902</v>
      </c>
      <c r="J4" t="s">
        <v>1913</v>
      </c>
      <c r="K4">
        <v>54542</v>
      </c>
      <c r="L4" s="1">
        <v>975</v>
      </c>
      <c r="M4" s="1" t="s">
        <v>3155</v>
      </c>
      <c r="N4" t="s">
        <v>1914</v>
      </c>
      <c r="O4" t="s">
        <v>3149</v>
      </c>
    </row>
    <row r="5" spans="1:15" x14ac:dyDescent="0.3">
      <c r="A5" t="s">
        <v>949</v>
      </c>
      <c r="B5">
        <v>7</v>
      </c>
      <c r="C5" s="1">
        <v>44823</v>
      </c>
      <c r="D5" t="s">
        <v>950</v>
      </c>
      <c r="E5" t="s">
        <v>951</v>
      </c>
      <c r="F5" t="s">
        <v>15</v>
      </c>
      <c r="G5" t="s">
        <v>143</v>
      </c>
      <c r="H5">
        <v>75</v>
      </c>
      <c r="I5">
        <v>1925</v>
      </c>
      <c r="J5" t="s">
        <v>952</v>
      </c>
      <c r="K5">
        <v>60732</v>
      </c>
      <c r="L5" s="1">
        <v>9448</v>
      </c>
      <c r="M5" s="1" t="s">
        <v>3163</v>
      </c>
      <c r="N5" t="s">
        <v>953</v>
      </c>
      <c r="O5" t="s">
        <v>3149</v>
      </c>
    </row>
    <row r="6" spans="1:15" x14ac:dyDescent="0.3">
      <c r="A6" t="s">
        <v>1074</v>
      </c>
      <c r="B6">
        <v>6</v>
      </c>
      <c r="C6" s="1">
        <v>45116</v>
      </c>
      <c r="D6" t="s">
        <v>1075</v>
      </c>
      <c r="E6" t="s">
        <v>1076</v>
      </c>
      <c r="F6" t="s">
        <v>15</v>
      </c>
      <c r="G6" t="s">
        <v>187</v>
      </c>
      <c r="H6">
        <v>153</v>
      </c>
      <c r="I6">
        <v>1927</v>
      </c>
      <c r="J6" t="s">
        <v>462</v>
      </c>
      <c r="K6">
        <v>182796</v>
      </c>
      <c r="L6" s="1">
        <v>9872</v>
      </c>
      <c r="M6" s="1" t="s">
        <v>3180</v>
      </c>
      <c r="N6" t="s">
        <v>1077</v>
      </c>
      <c r="O6" t="s">
        <v>3149</v>
      </c>
    </row>
    <row r="7" spans="1:15" x14ac:dyDescent="0.3">
      <c r="A7" t="s">
        <v>1202</v>
      </c>
      <c r="B7">
        <v>5</v>
      </c>
      <c r="C7" s="1">
        <v>44314</v>
      </c>
      <c r="D7" t="s">
        <v>1203</v>
      </c>
      <c r="E7" t="s">
        <v>1204</v>
      </c>
      <c r="F7" t="s">
        <v>15</v>
      </c>
      <c r="G7" t="s">
        <v>198</v>
      </c>
      <c r="H7">
        <v>68</v>
      </c>
      <c r="I7">
        <v>1928</v>
      </c>
      <c r="J7" t="s">
        <v>517</v>
      </c>
      <c r="K7">
        <v>1138</v>
      </c>
      <c r="L7" s="1">
        <v>10294</v>
      </c>
      <c r="M7" s="1" t="s">
        <v>3179</v>
      </c>
      <c r="N7" t="s">
        <v>1205</v>
      </c>
      <c r="O7" t="s">
        <v>3149</v>
      </c>
    </row>
    <row r="8" spans="1:15" x14ac:dyDescent="0.3">
      <c r="A8" t="s">
        <v>1209</v>
      </c>
      <c r="B8">
        <v>7</v>
      </c>
      <c r="C8" s="1">
        <v>44200</v>
      </c>
      <c r="D8" t="s">
        <v>1210</v>
      </c>
      <c r="E8" t="s">
        <v>1211</v>
      </c>
      <c r="F8" t="s">
        <v>15</v>
      </c>
      <c r="G8" t="s">
        <v>187</v>
      </c>
      <c r="H8">
        <v>68</v>
      </c>
      <c r="I8">
        <v>1929</v>
      </c>
      <c r="J8" t="s">
        <v>96</v>
      </c>
      <c r="K8">
        <v>27486</v>
      </c>
      <c r="L8" s="1">
        <v>10601</v>
      </c>
      <c r="M8" s="1" t="s">
        <v>3179</v>
      </c>
      <c r="N8" t="s">
        <v>1212</v>
      </c>
      <c r="O8" t="s">
        <v>3149</v>
      </c>
    </row>
    <row r="9" spans="1:15" x14ac:dyDescent="0.3">
      <c r="A9" t="s">
        <v>1229</v>
      </c>
      <c r="B9">
        <v>7</v>
      </c>
      <c r="C9" s="1">
        <v>45164</v>
      </c>
      <c r="D9" t="s">
        <v>1230</v>
      </c>
      <c r="E9" t="s">
        <v>1231</v>
      </c>
      <c r="F9" t="s">
        <v>47</v>
      </c>
      <c r="G9" t="s">
        <v>41</v>
      </c>
      <c r="H9">
        <v>16</v>
      </c>
      <c r="I9">
        <v>1929</v>
      </c>
      <c r="J9" t="s">
        <v>1232</v>
      </c>
      <c r="K9">
        <v>53103</v>
      </c>
      <c r="L9" s="1">
        <v>10750</v>
      </c>
      <c r="M9" s="1" t="s">
        <v>3155</v>
      </c>
      <c r="N9" t="s">
        <v>1233</v>
      </c>
      <c r="O9" t="s">
        <v>3149</v>
      </c>
    </row>
    <row r="10" spans="1:15" x14ac:dyDescent="0.3">
      <c r="A10" t="s">
        <v>1273</v>
      </c>
      <c r="B10">
        <v>7</v>
      </c>
      <c r="C10" s="1">
        <v>44176</v>
      </c>
      <c r="D10" t="s">
        <v>1274</v>
      </c>
      <c r="E10" t="s">
        <v>1275</v>
      </c>
      <c r="F10" t="s">
        <v>15</v>
      </c>
      <c r="G10" t="s">
        <v>67</v>
      </c>
      <c r="H10">
        <v>67</v>
      </c>
      <c r="I10">
        <v>1930</v>
      </c>
      <c r="J10" t="s">
        <v>96</v>
      </c>
      <c r="K10">
        <v>1023</v>
      </c>
      <c r="L10" s="1">
        <v>11268</v>
      </c>
      <c r="M10" s="1" t="s">
        <v>3179</v>
      </c>
      <c r="N10" t="s">
        <v>1212</v>
      </c>
      <c r="O10" t="s">
        <v>3149</v>
      </c>
    </row>
    <row r="11" spans="1:15" x14ac:dyDescent="0.3">
      <c r="A11" t="s">
        <v>1280</v>
      </c>
      <c r="B11">
        <v>7</v>
      </c>
      <c r="C11" s="1">
        <v>44144</v>
      </c>
      <c r="D11" t="s">
        <v>1281</v>
      </c>
      <c r="E11" t="s">
        <v>1282</v>
      </c>
      <c r="F11" t="s">
        <v>15</v>
      </c>
      <c r="G11" t="s">
        <v>79</v>
      </c>
      <c r="H11">
        <v>75</v>
      </c>
      <c r="I11">
        <v>1930</v>
      </c>
      <c r="J11" t="s">
        <v>24</v>
      </c>
      <c r="K11">
        <v>6290</v>
      </c>
      <c r="L11" s="1">
        <v>11056</v>
      </c>
      <c r="M11" s="1" t="s">
        <v>3179</v>
      </c>
      <c r="N11" t="s">
        <v>1205</v>
      </c>
      <c r="O11" t="s">
        <v>3149</v>
      </c>
    </row>
    <row r="12" spans="1:15" x14ac:dyDescent="0.3">
      <c r="A12" t="s">
        <v>1313</v>
      </c>
      <c r="B12">
        <v>7</v>
      </c>
      <c r="C12" s="1">
        <v>45291</v>
      </c>
      <c r="D12" t="s">
        <v>1314</v>
      </c>
      <c r="E12" t="s">
        <v>1315</v>
      </c>
      <c r="F12" t="s">
        <v>15</v>
      </c>
      <c r="G12" t="s">
        <v>187</v>
      </c>
      <c r="H12">
        <v>117</v>
      </c>
      <c r="I12">
        <v>1931</v>
      </c>
      <c r="J12" t="s">
        <v>1316</v>
      </c>
      <c r="K12">
        <v>166126</v>
      </c>
      <c r="L12" s="1">
        <v>11454</v>
      </c>
      <c r="M12" s="1" t="s">
        <v>3180</v>
      </c>
      <c r="N12" t="s">
        <v>1077</v>
      </c>
      <c r="O12" t="s">
        <v>3149</v>
      </c>
    </row>
    <row r="13" spans="1:15" x14ac:dyDescent="0.3">
      <c r="A13" t="s">
        <v>1359</v>
      </c>
      <c r="B13">
        <v>5</v>
      </c>
      <c r="C13" s="1">
        <v>44984</v>
      </c>
      <c r="D13" t="s">
        <v>1360</v>
      </c>
      <c r="E13" t="s">
        <v>1361</v>
      </c>
      <c r="F13" t="s">
        <v>15</v>
      </c>
      <c r="G13" t="s">
        <v>16</v>
      </c>
      <c r="H13">
        <v>82</v>
      </c>
      <c r="I13">
        <v>1932</v>
      </c>
      <c r="J13" t="s">
        <v>1362</v>
      </c>
      <c r="K13">
        <v>10110</v>
      </c>
      <c r="L13" s="1">
        <v>11723</v>
      </c>
      <c r="M13" s="1" t="s">
        <v>3165</v>
      </c>
      <c r="N13" t="s">
        <v>1363</v>
      </c>
      <c r="O13" t="s">
        <v>3149</v>
      </c>
    </row>
    <row r="14" spans="1:15" x14ac:dyDescent="0.3">
      <c r="A14" t="s">
        <v>1475</v>
      </c>
      <c r="B14">
        <v>7</v>
      </c>
      <c r="C14" s="1">
        <v>44324</v>
      </c>
      <c r="D14" t="s">
        <v>1476</v>
      </c>
      <c r="E14" t="s">
        <v>1477</v>
      </c>
      <c r="F14" t="s">
        <v>15</v>
      </c>
      <c r="G14" t="s">
        <v>143</v>
      </c>
      <c r="H14">
        <v>91</v>
      </c>
      <c r="I14">
        <v>1934</v>
      </c>
      <c r="J14" t="s">
        <v>1478</v>
      </c>
      <c r="K14">
        <v>32108</v>
      </c>
      <c r="L14" s="1">
        <v>12564</v>
      </c>
      <c r="M14" s="1" t="s">
        <v>3165</v>
      </c>
      <c r="N14" t="s">
        <v>1479</v>
      </c>
      <c r="O14" t="s">
        <v>3149</v>
      </c>
    </row>
    <row r="15" spans="1:15" x14ac:dyDescent="0.3">
      <c r="A15" t="s">
        <v>1651</v>
      </c>
      <c r="B15">
        <v>8</v>
      </c>
      <c r="C15" s="1">
        <v>45269</v>
      </c>
      <c r="D15" t="s">
        <v>1652</v>
      </c>
      <c r="E15" t="s">
        <v>1653</v>
      </c>
      <c r="F15" t="s">
        <v>15</v>
      </c>
      <c r="G15" t="s">
        <v>369</v>
      </c>
      <c r="H15">
        <v>238</v>
      </c>
      <c r="I15">
        <v>1939</v>
      </c>
      <c r="J15" t="s">
        <v>1654</v>
      </c>
      <c r="K15">
        <v>329784</v>
      </c>
      <c r="L15" s="1">
        <v>14594</v>
      </c>
      <c r="M15" s="1" t="s">
        <v>3165</v>
      </c>
      <c r="N15" t="s">
        <v>1655</v>
      </c>
      <c r="O15" t="s">
        <v>3149</v>
      </c>
    </row>
    <row r="16" spans="1:15" x14ac:dyDescent="0.3">
      <c r="A16" t="s">
        <v>1673</v>
      </c>
      <c r="B16">
        <v>8</v>
      </c>
      <c r="C16" s="1">
        <v>44911</v>
      </c>
      <c r="D16" t="s">
        <v>1674</v>
      </c>
      <c r="E16" t="s">
        <v>1675</v>
      </c>
      <c r="F16" t="s">
        <v>15</v>
      </c>
      <c r="G16" t="s">
        <v>927</v>
      </c>
      <c r="H16">
        <v>125</v>
      </c>
      <c r="I16">
        <v>1940</v>
      </c>
      <c r="J16" t="s">
        <v>1133</v>
      </c>
      <c r="K16">
        <v>234434</v>
      </c>
      <c r="L16" s="1">
        <v>14899</v>
      </c>
      <c r="M16" s="1" t="s">
        <v>3165</v>
      </c>
      <c r="N16" t="s">
        <v>1676</v>
      </c>
      <c r="O16" t="s">
        <v>3149</v>
      </c>
    </row>
    <row r="17" spans="1:15" x14ac:dyDescent="0.3">
      <c r="A17" t="s">
        <v>1680</v>
      </c>
      <c r="B17">
        <v>6</v>
      </c>
      <c r="C17" s="1">
        <v>45123</v>
      </c>
      <c r="D17" t="s">
        <v>1681</v>
      </c>
      <c r="E17" t="s">
        <v>1682</v>
      </c>
      <c r="F17" t="s">
        <v>15</v>
      </c>
      <c r="G17" t="s">
        <v>143</v>
      </c>
      <c r="H17">
        <v>112</v>
      </c>
      <c r="I17">
        <v>1940</v>
      </c>
      <c r="J17" t="s">
        <v>225</v>
      </c>
      <c r="K17">
        <v>72906</v>
      </c>
      <c r="L17" s="1">
        <v>14950</v>
      </c>
      <c r="M17" s="1" t="s">
        <v>3165</v>
      </c>
      <c r="N17" t="s">
        <v>1683</v>
      </c>
      <c r="O17" t="s">
        <v>3149</v>
      </c>
    </row>
    <row r="18" spans="1:15" x14ac:dyDescent="0.3">
      <c r="A18" t="s">
        <v>1715</v>
      </c>
      <c r="B18">
        <v>7</v>
      </c>
      <c r="C18" s="1">
        <v>44835</v>
      </c>
      <c r="D18" t="s">
        <v>1716</v>
      </c>
      <c r="E18" t="s">
        <v>1717</v>
      </c>
      <c r="F18" t="s">
        <v>15</v>
      </c>
      <c r="G18" t="s">
        <v>23</v>
      </c>
      <c r="H18">
        <v>102</v>
      </c>
      <c r="I18">
        <v>1942</v>
      </c>
      <c r="J18" t="s">
        <v>1654</v>
      </c>
      <c r="K18">
        <v>598002</v>
      </c>
      <c r="L18" s="1">
        <v>15671</v>
      </c>
      <c r="M18" s="1" t="s">
        <v>3165</v>
      </c>
      <c r="N18" t="s">
        <v>1718</v>
      </c>
      <c r="O18" t="s">
        <v>3149</v>
      </c>
    </row>
    <row r="19" spans="1:15" x14ac:dyDescent="0.3">
      <c r="A19" t="s">
        <v>1758</v>
      </c>
      <c r="B19">
        <v>7</v>
      </c>
      <c r="C19" s="1">
        <v>44455</v>
      </c>
      <c r="D19" t="s">
        <v>1759</v>
      </c>
      <c r="E19" t="s">
        <v>1760</v>
      </c>
      <c r="F19" t="s">
        <v>47</v>
      </c>
      <c r="G19" t="s">
        <v>61</v>
      </c>
      <c r="H19">
        <v>14</v>
      </c>
      <c r="I19">
        <v>1943</v>
      </c>
      <c r="J19" t="s">
        <v>1761</v>
      </c>
      <c r="K19">
        <v>14883</v>
      </c>
      <c r="L19" s="1">
        <v>16071</v>
      </c>
      <c r="M19" s="1" t="s">
        <v>3165</v>
      </c>
      <c r="N19" t="s">
        <v>3208</v>
      </c>
      <c r="O19" t="s">
        <v>3175</v>
      </c>
    </row>
    <row r="20" spans="1:15" x14ac:dyDescent="0.3">
      <c r="A20" t="s">
        <v>1828</v>
      </c>
      <c r="B20">
        <v>8</v>
      </c>
      <c r="C20" s="1">
        <v>43826</v>
      </c>
      <c r="D20" t="s">
        <v>1829</v>
      </c>
      <c r="E20" t="s">
        <v>1830</v>
      </c>
      <c r="F20" t="s">
        <v>15</v>
      </c>
      <c r="G20" t="s">
        <v>122</v>
      </c>
      <c r="H20">
        <v>130</v>
      </c>
      <c r="I20">
        <v>1946</v>
      </c>
      <c r="J20" t="s">
        <v>1831</v>
      </c>
      <c r="K20">
        <v>491225</v>
      </c>
      <c r="L20" s="1">
        <v>17156</v>
      </c>
      <c r="M20" s="1" t="s">
        <v>3165</v>
      </c>
      <c r="N20" t="s">
        <v>1832</v>
      </c>
      <c r="O20" t="s">
        <v>3149</v>
      </c>
    </row>
    <row r="21" spans="1:15" x14ac:dyDescent="0.3">
      <c r="A21" t="s">
        <v>1852</v>
      </c>
      <c r="B21">
        <v>7</v>
      </c>
      <c r="C21" s="1">
        <v>43829</v>
      </c>
      <c r="D21" t="s">
        <v>1853</v>
      </c>
      <c r="E21" t="s">
        <v>1854</v>
      </c>
      <c r="F21" t="s">
        <v>15</v>
      </c>
      <c r="G21" t="s">
        <v>143</v>
      </c>
      <c r="H21">
        <v>96</v>
      </c>
      <c r="I21">
        <v>1947</v>
      </c>
      <c r="J21" t="s">
        <v>1855</v>
      </c>
      <c r="K21">
        <v>54267</v>
      </c>
      <c r="L21" s="1">
        <v>17322</v>
      </c>
      <c r="M21" s="1" t="s">
        <v>3165</v>
      </c>
      <c r="N21" t="s">
        <v>1856</v>
      </c>
      <c r="O21" t="s">
        <v>3149</v>
      </c>
    </row>
    <row r="22" spans="1:15" x14ac:dyDescent="0.3">
      <c r="A22" t="s">
        <v>1873</v>
      </c>
      <c r="B22">
        <v>6</v>
      </c>
      <c r="C22" s="1">
        <v>45163</v>
      </c>
      <c r="D22" t="s">
        <v>1874</v>
      </c>
      <c r="E22" t="s">
        <v>1875</v>
      </c>
      <c r="F22" t="s">
        <v>15</v>
      </c>
      <c r="G22" t="s">
        <v>334</v>
      </c>
      <c r="H22">
        <v>135</v>
      </c>
      <c r="I22">
        <v>1948</v>
      </c>
      <c r="J22" t="s">
        <v>1876</v>
      </c>
      <c r="K22">
        <v>38341</v>
      </c>
      <c r="L22" s="1">
        <v>17736</v>
      </c>
      <c r="M22" s="1" t="s">
        <v>3165</v>
      </c>
      <c r="N22" t="s">
        <v>1877</v>
      </c>
      <c r="O22" t="s">
        <v>3149</v>
      </c>
    </row>
    <row r="23" spans="1:15" x14ac:dyDescent="0.3">
      <c r="A23" t="s">
        <v>1944</v>
      </c>
      <c r="B23">
        <v>6</v>
      </c>
      <c r="C23" s="1">
        <v>45243</v>
      </c>
      <c r="D23" t="s">
        <v>1945</v>
      </c>
      <c r="E23" t="s">
        <v>1946</v>
      </c>
      <c r="F23" t="s">
        <v>15</v>
      </c>
      <c r="G23" t="s">
        <v>927</v>
      </c>
      <c r="H23">
        <v>110</v>
      </c>
      <c r="I23">
        <v>1950</v>
      </c>
      <c r="J23" t="s">
        <v>1947</v>
      </c>
      <c r="K23">
        <v>233080</v>
      </c>
      <c r="L23" s="1">
        <v>18479</v>
      </c>
      <c r="M23" s="1" t="s">
        <v>3165</v>
      </c>
      <c r="N23" t="s">
        <v>1948</v>
      </c>
      <c r="O23" t="s">
        <v>3149</v>
      </c>
    </row>
    <row r="24" spans="1:15" x14ac:dyDescent="0.3">
      <c r="A24" t="s">
        <v>2012</v>
      </c>
      <c r="B24">
        <v>5</v>
      </c>
      <c r="C24" s="1">
        <v>43920</v>
      </c>
      <c r="D24" t="s">
        <v>2013</v>
      </c>
      <c r="E24" t="s">
        <v>2014</v>
      </c>
      <c r="F24" t="s">
        <v>15</v>
      </c>
      <c r="G24" t="s">
        <v>198</v>
      </c>
      <c r="H24">
        <v>91</v>
      </c>
      <c r="I24">
        <v>1953</v>
      </c>
      <c r="J24" t="s">
        <v>2015</v>
      </c>
      <c r="K24">
        <v>41972</v>
      </c>
      <c r="L24" s="1">
        <v>19541</v>
      </c>
      <c r="M24" s="1" t="s">
        <v>3165</v>
      </c>
      <c r="N24" t="s">
        <v>2016</v>
      </c>
      <c r="O24" t="s">
        <v>3149</v>
      </c>
    </row>
    <row r="25" spans="1:15" x14ac:dyDescent="0.3">
      <c r="A25" t="s">
        <v>2017</v>
      </c>
      <c r="B25">
        <v>6</v>
      </c>
      <c r="C25" s="1">
        <v>44917</v>
      </c>
      <c r="D25" t="s">
        <v>2018</v>
      </c>
      <c r="E25" t="s">
        <v>2019</v>
      </c>
      <c r="F25" t="s">
        <v>15</v>
      </c>
      <c r="G25" t="s">
        <v>29</v>
      </c>
      <c r="H25">
        <v>118</v>
      </c>
      <c r="I25">
        <v>1953</v>
      </c>
      <c r="J25" t="s">
        <v>225</v>
      </c>
      <c r="K25">
        <v>145695</v>
      </c>
      <c r="L25" s="1">
        <v>19591</v>
      </c>
      <c r="M25" s="1" t="s">
        <v>3165</v>
      </c>
      <c r="N25" t="s">
        <v>2020</v>
      </c>
      <c r="O25" t="s">
        <v>3149</v>
      </c>
    </row>
    <row r="26" spans="1:15" x14ac:dyDescent="0.3">
      <c r="A26" t="s">
        <v>2021</v>
      </c>
      <c r="B26">
        <v>6</v>
      </c>
      <c r="C26" s="1">
        <v>43829</v>
      </c>
      <c r="D26" t="s">
        <v>2022</v>
      </c>
      <c r="E26" t="s">
        <v>2023</v>
      </c>
      <c r="F26" t="s">
        <v>15</v>
      </c>
      <c r="G26" t="s">
        <v>41</v>
      </c>
      <c r="H26">
        <v>118</v>
      </c>
      <c r="I26">
        <v>1953</v>
      </c>
      <c r="J26" t="s">
        <v>128</v>
      </c>
      <c r="K26">
        <v>43503</v>
      </c>
      <c r="L26" s="1">
        <v>19472</v>
      </c>
      <c r="M26" s="1" t="s">
        <v>3165</v>
      </c>
      <c r="N26" t="s">
        <v>2024</v>
      </c>
      <c r="O26" t="s">
        <v>3149</v>
      </c>
    </row>
    <row r="27" spans="1:15" x14ac:dyDescent="0.3">
      <c r="A27" t="s">
        <v>2055</v>
      </c>
      <c r="B27">
        <v>8</v>
      </c>
      <c r="C27" s="1">
        <v>44561</v>
      </c>
      <c r="D27" t="s">
        <v>2056</v>
      </c>
      <c r="E27" t="s">
        <v>2057</v>
      </c>
      <c r="F27" t="s">
        <v>15</v>
      </c>
      <c r="G27" t="s">
        <v>23</v>
      </c>
      <c r="H27">
        <v>112</v>
      </c>
      <c r="I27">
        <v>1954</v>
      </c>
      <c r="J27" t="s">
        <v>370</v>
      </c>
      <c r="K27">
        <v>514667</v>
      </c>
      <c r="L27" s="1">
        <v>19937</v>
      </c>
      <c r="M27" s="1" t="s">
        <v>3165</v>
      </c>
      <c r="N27" t="s">
        <v>2058</v>
      </c>
      <c r="O27" t="s">
        <v>3149</v>
      </c>
    </row>
    <row r="28" spans="1:15" x14ac:dyDescent="0.3">
      <c r="A28" t="s">
        <v>2070</v>
      </c>
      <c r="B28">
        <v>4</v>
      </c>
      <c r="C28" s="1">
        <v>44121</v>
      </c>
      <c r="D28" t="s">
        <v>2071</v>
      </c>
      <c r="E28" t="s">
        <v>2072</v>
      </c>
      <c r="F28" t="s">
        <v>15</v>
      </c>
      <c r="G28" t="s">
        <v>198</v>
      </c>
      <c r="H28">
        <v>105</v>
      </c>
      <c r="I28">
        <v>1955</v>
      </c>
      <c r="J28" t="s">
        <v>225</v>
      </c>
      <c r="K28">
        <v>41821</v>
      </c>
      <c r="L28" s="1">
        <v>20241</v>
      </c>
      <c r="M28" s="1" t="s">
        <v>3165</v>
      </c>
      <c r="N28" t="s">
        <v>1948</v>
      </c>
      <c r="O28" t="s">
        <v>3149</v>
      </c>
    </row>
    <row r="29" spans="1:15" x14ac:dyDescent="0.3">
      <c r="A29" t="s">
        <v>2083</v>
      </c>
      <c r="B29">
        <v>6</v>
      </c>
      <c r="C29" s="1">
        <v>44612</v>
      </c>
      <c r="D29" t="s">
        <v>2084</v>
      </c>
      <c r="E29" t="s">
        <v>2085</v>
      </c>
      <c r="F29" t="s">
        <v>15</v>
      </c>
      <c r="G29" t="s">
        <v>35</v>
      </c>
      <c r="H29">
        <v>111</v>
      </c>
      <c r="I29">
        <v>1956</v>
      </c>
      <c r="J29" t="s">
        <v>2015</v>
      </c>
      <c r="K29">
        <v>17252</v>
      </c>
      <c r="L29" s="1">
        <v>20653</v>
      </c>
      <c r="M29" s="1" t="s">
        <v>3165</v>
      </c>
      <c r="N29" t="s">
        <v>2086</v>
      </c>
      <c r="O29" t="s">
        <v>3149</v>
      </c>
    </row>
    <row r="30" spans="1:15" x14ac:dyDescent="0.3">
      <c r="A30" t="s">
        <v>2087</v>
      </c>
      <c r="B30">
        <v>6</v>
      </c>
      <c r="C30" s="1">
        <v>43833</v>
      </c>
      <c r="D30" t="s">
        <v>2088</v>
      </c>
      <c r="E30" t="s">
        <v>2089</v>
      </c>
      <c r="F30" t="s">
        <v>15</v>
      </c>
      <c r="G30" t="s">
        <v>61</v>
      </c>
      <c r="H30">
        <v>119</v>
      </c>
      <c r="I30">
        <v>1956</v>
      </c>
      <c r="J30" t="s">
        <v>2090</v>
      </c>
      <c r="K30">
        <v>94963</v>
      </c>
      <c r="L30" s="1">
        <v>20591</v>
      </c>
      <c r="M30" s="1" t="s">
        <v>3165</v>
      </c>
      <c r="N30" t="s">
        <v>2091</v>
      </c>
      <c r="O30" t="s">
        <v>3149</v>
      </c>
    </row>
    <row r="31" spans="1:15" x14ac:dyDescent="0.3">
      <c r="A31" t="s">
        <v>2100</v>
      </c>
      <c r="B31">
        <v>7</v>
      </c>
      <c r="C31" s="1">
        <v>44325</v>
      </c>
      <c r="D31" t="s">
        <v>2101</v>
      </c>
      <c r="E31" t="s">
        <v>2102</v>
      </c>
      <c r="F31" t="s">
        <v>15</v>
      </c>
      <c r="G31" t="s">
        <v>271</v>
      </c>
      <c r="H31">
        <v>96</v>
      </c>
      <c r="I31">
        <v>1957</v>
      </c>
      <c r="J31" t="s">
        <v>325</v>
      </c>
      <c r="K31">
        <v>846811</v>
      </c>
      <c r="L31" s="1">
        <v>20920</v>
      </c>
      <c r="M31" s="1" t="s">
        <v>3165</v>
      </c>
      <c r="N31" t="s">
        <v>2103</v>
      </c>
      <c r="O31" t="s">
        <v>3149</v>
      </c>
    </row>
    <row r="32" spans="1:15" x14ac:dyDescent="0.3">
      <c r="A32" t="s">
        <v>2115</v>
      </c>
      <c r="B32">
        <v>7</v>
      </c>
      <c r="C32" s="1">
        <v>44381</v>
      </c>
      <c r="D32" t="s">
        <v>2116</v>
      </c>
      <c r="E32" t="s">
        <v>2117</v>
      </c>
      <c r="F32" t="s">
        <v>15</v>
      </c>
      <c r="G32" t="s">
        <v>334</v>
      </c>
      <c r="H32">
        <v>110</v>
      </c>
      <c r="I32">
        <v>1957</v>
      </c>
      <c r="J32" t="s">
        <v>24</v>
      </c>
      <c r="K32">
        <v>51418</v>
      </c>
      <c r="L32" s="1">
        <v>20951</v>
      </c>
      <c r="M32" s="1" t="s">
        <v>3155</v>
      </c>
      <c r="N32" t="s">
        <v>2118</v>
      </c>
      <c r="O32" t="s">
        <v>3149</v>
      </c>
    </row>
    <row r="33" spans="1:15" x14ac:dyDescent="0.3">
      <c r="A33" t="s">
        <v>2141</v>
      </c>
      <c r="B33">
        <v>6</v>
      </c>
      <c r="C33" s="1">
        <v>44884</v>
      </c>
      <c r="D33" t="s">
        <v>2142</v>
      </c>
      <c r="E33" t="s">
        <v>2143</v>
      </c>
      <c r="F33" t="s">
        <v>15</v>
      </c>
      <c r="G33" t="s">
        <v>84</v>
      </c>
      <c r="H33">
        <v>103</v>
      </c>
      <c r="I33">
        <v>1958</v>
      </c>
      <c r="J33" t="s">
        <v>1654</v>
      </c>
      <c r="K33">
        <v>13145</v>
      </c>
      <c r="L33" s="1">
        <v>21461</v>
      </c>
      <c r="M33" s="1" t="s">
        <v>3166</v>
      </c>
      <c r="N33" t="s">
        <v>2137</v>
      </c>
      <c r="O33" t="s">
        <v>3149</v>
      </c>
    </row>
    <row r="34" spans="1:15" x14ac:dyDescent="0.3">
      <c r="A34" t="s">
        <v>2156</v>
      </c>
      <c r="B34">
        <v>8</v>
      </c>
      <c r="C34" s="1">
        <v>44793</v>
      </c>
      <c r="D34" t="s">
        <v>2157</v>
      </c>
      <c r="E34" t="s">
        <v>2158</v>
      </c>
      <c r="F34" t="s">
        <v>15</v>
      </c>
      <c r="G34" t="s">
        <v>61</v>
      </c>
      <c r="H34">
        <v>90</v>
      </c>
      <c r="I34">
        <v>1959</v>
      </c>
      <c r="J34" t="s">
        <v>42</v>
      </c>
      <c r="K34">
        <v>35228</v>
      </c>
      <c r="L34" s="1">
        <v>21678</v>
      </c>
      <c r="M34" s="1" t="s">
        <v>3155</v>
      </c>
      <c r="N34" t="s">
        <v>2159</v>
      </c>
      <c r="O34" t="s">
        <v>3149</v>
      </c>
    </row>
    <row r="35" spans="1:15" x14ac:dyDescent="0.3">
      <c r="A35" t="s">
        <v>2160</v>
      </c>
      <c r="B35">
        <v>5</v>
      </c>
      <c r="C35" s="1">
        <v>45084</v>
      </c>
      <c r="D35" t="s">
        <v>2161</v>
      </c>
      <c r="E35" t="s">
        <v>2162</v>
      </c>
      <c r="F35" t="s">
        <v>15</v>
      </c>
      <c r="G35" t="s">
        <v>73</v>
      </c>
      <c r="H35">
        <v>95</v>
      </c>
      <c r="I35">
        <v>1958</v>
      </c>
      <c r="J35" t="s">
        <v>24</v>
      </c>
      <c r="K35">
        <v>194</v>
      </c>
      <c r="L35" s="1">
        <v>21475</v>
      </c>
      <c r="M35" s="1" t="s">
        <v>3179</v>
      </c>
      <c r="N35" t="s">
        <v>2163</v>
      </c>
      <c r="O35" t="s">
        <v>3175</v>
      </c>
    </row>
    <row r="36" spans="1:15" x14ac:dyDescent="0.3">
      <c r="A36" t="s">
        <v>2164</v>
      </c>
      <c r="B36">
        <v>8</v>
      </c>
      <c r="C36" s="1">
        <v>43897</v>
      </c>
      <c r="D36" t="s">
        <v>2165</v>
      </c>
      <c r="E36" t="s">
        <v>2166</v>
      </c>
      <c r="F36" t="s">
        <v>15</v>
      </c>
      <c r="G36" t="s">
        <v>369</v>
      </c>
      <c r="H36">
        <v>121</v>
      </c>
      <c r="I36">
        <v>1959</v>
      </c>
      <c r="J36" t="s">
        <v>2167</v>
      </c>
      <c r="K36">
        <v>279970</v>
      </c>
      <c r="L36" s="1">
        <v>21628</v>
      </c>
      <c r="M36" s="1" t="s">
        <v>3165</v>
      </c>
      <c r="N36" t="s">
        <v>1948</v>
      </c>
      <c r="O36" t="s">
        <v>3149</v>
      </c>
    </row>
    <row r="37" spans="1:15" x14ac:dyDescent="0.3">
      <c r="A37" t="s">
        <v>2168</v>
      </c>
      <c r="B37">
        <v>4</v>
      </c>
      <c r="C37" s="1">
        <v>44882</v>
      </c>
      <c r="D37" t="s">
        <v>2169</v>
      </c>
      <c r="E37" t="s">
        <v>2170</v>
      </c>
      <c r="F37" t="s">
        <v>15</v>
      </c>
      <c r="G37" t="s">
        <v>84</v>
      </c>
      <c r="H37">
        <v>90</v>
      </c>
      <c r="I37">
        <v>1960</v>
      </c>
      <c r="J37" t="s">
        <v>325</v>
      </c>
      <c r="K37">
        <v>86771</v>
      </c>
      <c r="L37" s="1">
        <v>21991</v>
      </c>
      <c r="M37" s="1" t="s">
        <v>3155</v>
      </c>
      <c r="N37" t="s">
        <v>2171</v>
      </c>
      <c r="O37" t="s">
        <v>3149</v>
      </c>
    </row>
    <row r="38" spans="1:15" x14ac:dyDescent="0.3">
      <c r="A38" t="s">
        <v>2176</v>
      </c>
      <c r="B38">
        <v>6</v>
      </c>
      <c r="C38" s="1">
        <v>44381</v>
      </c>
      <c r="D38" t="s">
        <v>2177</v>
      </c>
      <c r="E38" t="s">
        <v>2178</v>
      </c>
      <c r="F38" t="s">
        <v>15</v>
      </c>
      <c r="G38" t="s">
        <v>29</v>
      </c>
      <c r="H38">
        <v>174</v>
      </c>
      <c r="I38">
        <v>1960</v>
      </c>
      <c r="J38" t="s">
        <v>261</v>
      </c>
      <c r="K38">
        <v>77202</v>
      </c>
      <c r="L38" s="1">
        <v>21949</v>
      </c>
      <c r="M38" s="1" t="s">
        <v>3194</v>
      </c>
      <c r="N38" t="s">
        <v>2118</v>
      </c>
      <c r="O38" t="s">
        <v>3149</v>
      </c>
    </row>
    <row r="39" spans="1:15" x14ac:dyDescent="0.3">
      <c r="A39" t="s">
        <v>2179</v>
      </c>
      <c r="B39">
        <v>5</v>
      </c>
      <c r="C39" s="1">
        <v>44482</v>
      </c>
      <c r="D39" t="s">
        <v>2180</v>
      </c>
      <c r="E39" t="s">
        <v>2181</v>
      </c>
      <c r="F39" t="s">
        <v>15</v>
      </c>
      <c r="G39" t="s">
        <v>1170</v>
      </c>
      <c r="H39">
        <v>81</v>
      </c>
      <c r="I39">
        <v>1959</v>
      </c>
      <c r="J39" t="s">
        <v>2182</v>
      </c>
      <c r="K39">
        <v>27</v>
      </c>
      <c r="L39" s="1">
        <v>21618</v>
      </c>
      <c r="M39" s="1" t="s">
        <v>3179</v>
      </c>
      <c r="N39" t="s">
        <v>2183</v>
      </c>
      <c r="O39" t="s">
        <v>3149</v>
      </c>
    </row>
    <row r="40" spans="1:15" x14ac:dyDescent="0.3">
      <c r="A40" t="s">
        <v>2184</v>
      </c>
      <c r="B40">
        <v>8</v>
      </c>
      <c r="C40" s="1">
        <v>44200</v>
      </c>
      <c r="D40" t="s">
        <v>2185</v>
      </c>
      <c r="E40" t="s">
        <v>2186</v>
      </c>
      <c r="F40" t="s">
        <v>15</v>
      </c>
      <c r="G40" t="s">
        <v>23</v>
      </c>
      <c r="H40">
        <v>109</v>
      </c>
      <c r="I40">
        <v>1960</v>
      </c>
      <c r="J40" t="s">
        <v>738</v>
      </c>
      <c r="K40">
        <v>707980</v>
      </c>
      <c r="L40" s="1">
        <v>22083</v>
      </c>
      <c r="M40" s="1" t="s">
        <v>3165</v>
      </c>
      <c r="N40" t="s">
        <v>2058</v>
      </c>
      <c r="O40" t="s">
        <v>3149</v>
      </c>
    </row>
    <row r="41" spans="1:15" x14ac:dyDescent="0.3">
      <c r="A41" t="s">
        <v>2195</v>
      </c>
      <c r="B41">
        <v>7</v>
      </c>
      <c r="C41" s="1">
        <v>44985</v>
      </c>
      <c r="D41" t="s">
        <v>2196</v>
      </c>
      <c r="E41" t="s">
        <v>2197</v>
      </c>
      <c r="F41" t="s">
        <v>15</v>
      </c>
      <c r="G41" t="s">
        <v>187</v>
      </c>
      <c r="H41">
        <v>179</v>
      </c>
      <c r="I41">
        <v>1961</v>
      </c>
      <c r="J41" t="s">
        <v>193</v>
      </c>
      <c r="K41">
        <v>83240</v>
      </c>
      <c r="L41" s="1">
        <v>22629</v>
      </c>
      <c r="M41" s="1" t="s">
        <v>3165</v>
      </c>
      <c r="N41" t="s">
        <v>2198</v>
      </c>
      <c r="O41" t="s">
        <v>3149</v>
      </c>
    </row>
    <row r="42" spans="1:15" x14ac:dyDescent="0.3">
      <c r="A42" t="s">
        <v>2211</v>
      </c>
      <c r="B42">
        <v>6</v>
      </c>
      <c r="C42" s="1">
        <v>44623</v>
      </c>
      <c r="D42" t="s">
        <v>2212</v>
      </c>
      <c r="E42" t="s">
        <v>2213</v>
      </c>
      <c r="F42" t="s">
        <v>15</v>
      </c>
      <c r="G42" t="s">
        <v>16</v>
      </c>
      <c r="H42">
        <v>85</v>
      </c>
      <c r="I42">
        <v>1961</v>
      </c>
      <c r="J42" t="s">
        <v>17</v>
      </c>
      <c r="K42">
        <v>18972</v>
      </c>
      <c r="L42" s="1">
        <v>22463</v>
      </c>
      <c r="M42" s="1" t="s">
        <v>3155</v>
      </c>
      <c r="N42" t="s">
        <v>2171</v>
      </c>
      <c r="O42" t="s">
        <v>3149</v>
      </c>
    </row>
    <row r="43" spans="1:15" x14ac:dyDescent="0.3">
      <c r="A43" t="s">
        <v>2224</v>
      </c>
      <c r="B43">
        <v>6</v>
      </c>
      <c r="C43" s="1">
        <v>45117</v>
      </c>
      <c r="D43" t="s">
        <v>2225</v>
      </c>
      <c r="E43" t="s">
        <v>2226</v>
      </c>
      <c r="F43" t="s">
        <v>15</v>
      </c>
      <c r="G43" t="s">
        <v>61</v>
      </c>
      <c r="H43">
        <v>90</v>
      </c>
      <c r="I43">
        <v>1962</v>
      </c>
      <c r="J43" t="s">
        <v>169</v>
      </c>
      <c r="K43">
        <v>26272</v>
      </c>
      <c r="L43" s="1">
        <v>22747</v>
      </c>
      <c r="M43" s="1" t="s">
        <v>3155</v>
      </c>
      <c r="N43" t="s">
        <v>2227</v>
      </c>
      <c r="O43" t="s">
        <v>3175</v>
      </c>
    </row>
    <row r="44" spans="1:15" x14ac:dyDescent="0.3">
      <c r="A44" t="s">
        <v>2244</v>
      </c>
      <c r="B44">
        <v>6</v>
      </c>
      <c r="C44" s="1">
        <v>44373</v>
      </c>
      <c r="D44" t="s">
        <v>2245</v>
      </c>
      <c r="E44" t="s">
        <v>2246</v>
      </c>
      <c r="F44" t="s">
        <v>15</v>
      </c>
      <c r="G44" t="s">
        <v>56</v>
      </c>
      <c r="H44">
        <v>153</v>
      </c>
      <c r="I44">
        <v>1962</v>
      </c>
      <c r="J44" t="s">
        <v>30</v>
      </c>
      <c r="K44">
        <v>107372</v>
      </c>
      <c r="L44" s="1">
        <v>22810</v>
      </c>
      <c r="M44" s="1" t="s">
        <v>3165</v>
      </c>
      <c r="N44" t="s">
        <v>537</v>
      </c>
      <c r="O44" t="s">
        <v>3149</v>
      </c>
    </row>
    <row r="45" spans="1:15" x14ac:dyDescent="0.3">
      <c r="A45" t="s">
        <v>2247</v>
      </c>
      <c r="B45">
        <v>6</v>
      </c>
      <c r="C45" s="1">
        <v>44969</v>
      </c>
      <c r="D45" t="s">
        <v>2248</v>
      </c>
      <c r="E45" t="s">
        <v>2249</v>
      </c>
      <c r="F45" t="s">
        <v>15</v>
      </c>
      <c r="G45" t="s">
        <v>148</v>
      </c>
      <c r="H45">
        <v>94</v>
      </c>
      <c r="I45">
        <v>1962</v>
      </c>
      <c r="J45" t="s">
        <v>117</v>
      </c>
      <c r="K45">
        <v>23274</v>
      </c>
      <c r="L45" s="1">
        <v>22714</v>
      </c>
      <c r="M45" s="1" t="s">
        <v>3166</v>
      </c>
      <c r="N45" t="s">
        <v>1393</v>
      </c>
      <c r="O45" t="s">
        <v>3149</v>
      </c>
    </row>
    <row r="46" spans="1:15" x14ac:dyDescent="0.3">
      <c r="A46" t="s">
        <v>2257</v>
      </c>
      <c r="B46">
        <v>4</v>
      </c>
      <c r="C46" s="1">
        <v>44380</v>
      </c>
      <c r="D46" t="s">
        <v>2258</v>
      </c>
      <c r="E46" t="s">
        <v>2259</v>
      </c>
      <c r="F46" t="s">
        <v>15</v>
      </c>
      <c r="G46" t="s">
        <v>29</v>
      </c>
      <c r="H46">
        <v>138</v>
      </c>
      <c r="I46">
        <v>1963</v>
      </c>
      <c r="J46" t="s">
        <v>24</v>
      </c>
      <c r="K46">
        <v>123724</v>
      </c>
      <c r="L46" s="1">
        <v>23013</v>
      </c>
      <c r="M46" s="1" t="s">
        <v>3194</v>
      </c>
      <c r="N46" t="s">
        <v>2118</v>
      </c>
      <c r="O46" t="s">
        <v>3149</v>
      </c>
    </row>
    <row r="47" spans="1:15" x14ac:dyDescent="0.3">
      <c r="A47" t="s">
        <v>2270</v>
      </c>
      <c r="B47">
        <v>8</v>
      </c>
      <c r="C47" s="1">
        <v>44204</v>
      </c>
      <c r="D47" t="s">
        <v>2271</v>
      </c>
      <c r="E47" t="s">
        <v>2272</v>
      </c>
      <c r="F47" t="s">
        <v>15</v>
      </c>
      <c r="G47" t="s">
        <v>927</v>
      </c>
      <c r="H47">
        <v>95</v>
      </c>
      <c r="I47">
        <v>1964</v>
      </c>
      <c r="J47" t="s">
        <v>2273</v>
      </c>
      <c r="K47">
        <v>511396</v>
      </c>
      <c r="L47" s="1">
        <v>23405</v>
      </c>
      <c r="M47" s="1" t="s">
        <v>3165</v>
      </c>
      <c r="N47" t="s">
        <v>537</v>
      </c>
      <c r="O47" t="s">
        <v>3149</v>
      </c>
    </row>
    <row r="48" spans="1:15" x14ac:dyDescent="0.3">
      <c r="A48" t="s">
        <v>2278</v>
      </c>
      <c r="B48">
        <v>6</v>
      </c>
      <c r="C48" s="1">
        <v>44989</v>
      </c>
      <c r="D48" t="s">
        <v>2279</v>
      </c>
      <c r="E48" t="s">
        <v>2280</v>
      </c>
      <c r="F48" t="s">
        <v>15</v>
      </c>
      <c r="G48" t="s">
        <v>35</v>
      </c>
      <c r="H48">
        <v>92</v>
      </c>
      <c r="I48">
        <v>1963</v>
      </c>
      <c r="J48" t="s">
        <v>2281</v>
      </c>
      <c r="K48">
        <v>20178</v>
      </c>
      <c r="L48" s="1">
        <v>23143</v>
      </c>
      <c r="M48" s="1" t="s">
        <v>3171</v>
      </c>
      <c r="N48" t="s">
        <v>2282</v>
      </c>
      <c r="O48" t="s">
        <v>3149</v>
      </c>
    </row>
    <row r="49" spans="1:15" x14ac:dyDescent="0.3">
      <c r="A49" t="s">
        <v>2309</v>
      </c>
      <c r="B49">
        <v>7</v>
      </c>
      <c r="C49" s="1">
        <v>43572</v>
      </c>
      <c r="D49" t="s">
        <v>2310</v>
      </c>
      <c r="E49" t="s">
        <v>2311</v>
      </c>
      <c r="F49" t="s">
        <v>15</v>
      </c>
      <c r="G49" t="s">
        <v>56</v>
      </c>
      <c r="H49">
        <v>87</v>
      </c>
      <c r="I49">
        <v>1964</v>
      </c>
      <c r="J49" t="s">
        <v>2312</v>
      </c>
      <c r="K49">
        <v>47525</v>
      </c>
      <c r="L49" s="1">
        <v>23564</v>
      </c>
      <c r="M49" s="1" t="s">
        <v>3171</v>
      </c>
      <c r="N49" t="s">
        <v>2313</v>
      </c>
      <c r="O49" t="s">
        <v>3149</v>
      </c>
    </row>
    <row r="50" spans="1:15" x14ac:dyDescent="0.3">
      <c r="A50" t="s">
        <v>2314</v>
      </c>
      <c r="B50">
        <v>7</v>
      </c>
      <c r="C50" s="1">
        <v>44554</v>
      </c>
      <c r="D50" t="s">
        <v>2315</v>
      </c>
      <c r="E50" t="s">
        <v>2316</v>
      </c>
      <c r="F50" t="s">
        <v>15</v>
      </c>
      <c r="G50" t="s">
        <v>61</v>
      </c>
      <c r="H50">
        <v>91</v>
      </c>
      <c r="I50">
        <v>1964</v>
      </c>
      <c r="J50" t="s">
        <v>1228</v>
      </c>
      <c r="K50">
        <v>30575</v>
      </c>
      <c r="L50" s="1">
        <v>23410</v>
      </c>
      <c r="M50" s="1" t="s">
        <v>3155</v>
      </c>
      <c r="N50" t="s">
        <v>2317</v>
      </c>
      <c r="O50" t="s">
        <v>3149</v>
      </c>
    </row>
    <row r="51" spans="1:15" x14ac:dyDescent="0.3">
      <c r="A51" t="s">
        <v>2318</v>
      </c>
      <c r="B51">
        <v>7</v>
      </c>
      <c r="C51" s="1">
        <v>44805</v>
      </c>
      <c r="D51" t="s">
        <v>2319</v>
      </c>
      <c r="E51" t="s">
        <v>2320</v>
      </c>
      <c r="F51" t="s">
        <v>15</v>
      </c>
      <c r="G51" t="s">
        <v>61</v>
      </c>
      <c r="H51">
        <v>97</v>
      </c>
      <c r="I51">
        <v>1965</v>
      </c>
      <c r="J51" t="s">
        <v>42</v>
      </c>
      <c r="K51">
        <v>8205</v>
      </c>
      <c r="L51" s="1">
        <v>23823</v>
      </c>
      <c r="M51" s="1" t="s">
        <v>3179</v>
      </c>
      <c r="N51" t="s">
        <v>1279</v>
      </c>
      <c r="O51" t="s">
        <v>3149</v>
      </c>
    </row>
    <row r="52" spans="1:15" x14ac:dyDescent="0.3">
      <c r="A52" t="s">
        <v>2325</v>
      </c>
      <c r="B52">
        <v>4</v>
      </c>
      <c r="C52" s="1">
        <v>44546</v>
      </c>
      <c r="D52" t="s">
        <v>2326</v>
      </c>
      <c r="E52" t="s">
        <v>2327</v>
      </c>
      <c r="F52" t="s">
        <v>15</v>
      </c>
      <c r="G52" t="s">
        <v>95</v>
      </c>
      <c r="H52">
        <v>99</v>
      </c>
      <c r="I52">
        <v>1965</v>
      </c>
      <c r="J52" t="s">
        <v>1423</v>
      </c>
      <c r="K52">
        <v>27166</v>
      </c>
      <c r="L52" s="1">
        <v>23867</v>
      </c>
      <c r="M52" s="1" t="s">
        <v>3155</v>
      </c>
      <c r="N52" t="s">
        <v>2171</v>
      </c>
      <c r="O52" t="s">
        <v>3149</v>
      </c>
    </row>
    <row r="53" spans="1:15" x14ac:dyDescent="0.3">
      <c r="A53" t="s">
        <v>2337</v>
      </c>
      <c r="B53">
        <v>6</v>
      </c>
      <c r="C53" s="1">
        <v>45112</v>
      </c>
      <c r="D53" t="s">
        <v>2338</v>
      </c>
      <c r="E53" t="s">
        <v>2339</v>
      </c>
      <c r="F53" t="s">
        <v>15</v>
      </c>
      <c r="G53" t="s">
        <v>41</v>
      </c>
      <c r="H53">
        <v>105</v>
      </c>
      <c r="I53">
        <v>1965</v>
      </c>
      <c r="J53" t="s">
        <v>1162</v>
      </c>
      <c r="K53">
        <v>56502</v>
      </c>
      <c r="L53" s="1">
        <v>23881</v>
      </c>
      <c r="M53" s="1" t="s">
        <v>3171</v>
      </c>
      <c r="N53" t="s">
        <v>1393</v>
      </c>
      <c r="O53" t="s">
        <v>3149</v>
      </c>
    </row>
    <row r="54" spans="1:15" x14ac:dyDescent="0.3">
      <c r="A54" t="s">
        <v>2340</v>
      </c>
      <c r="B54">
        <v>6</v>
      </c>
      <c r="C54" s="1">
        <v>44761</v>
      </c>
      <c r="D54" t="s">
        <v>2341</v>
      </c>
      <c r="E54" t="s">
        <v>2342</v>
      </c>
      <c r="F54" t="s">
        <v>15</v>
      </c>
      <c r="G54" t="s">
        <v>16</v>
      </c>
      <c r="H54">
        <v>70</v>
      </c>
      <c r="I54">
        <v>1965</v>
      </c>
      <c r="J54" t="s">
        <v>24</v>
      </c>
      <c r="K54">
        <v>410</v>
      </c>
      <c r="L54" s="1">
        <v>24107</v>
      </c>
      <c r="M54" s="1" t="s">
        <v>3179</v>
      </c>
      <c r="N54" t="s">
        <v>822</v>
      </c>
      <c r="O54" t="s">
        <v>3149</v>
      </c>
    </row>
    <row r="55" spans="1:15" x14ac:dyDescent="0.3">
      <c r="A55" t="s">
        <v>2347</v>
      </c>
      <c r="B55">
        <v>6</v>
      </c>
      <c r="C55" s="1">
        <v>44200</v>
      </c>
      <c r="D55" t="s">
        <v>2348</v>
      </c>
      <c r="E55" t="s">
        <v>2349</v>
      </c>
      <c r="F55" t="s">
        <v>15</v>
      </c>
      <c r="G55" t="s">
        <v>56</v>
      </c>
      <c r="H55">
        <v>111</v>
      </c>
      <c r="I55">
        <v>1966</v>
      </c>
      <c r="J55" t="s">
        <v>178</v>
      </c>
      <c r="K55">
        <v>66625</v>
      </c>
      <c r="L55" s="1">
        <v>24459</v>
      </c>
      <c r="M55" s="1" t="s">
        <v>3194</v>
      </c>
      <c r="N55" t="s">
        <v>2350</v>
      </c>
      <c r="O55" t="s">
        <v>3149</v>
      </c>
    </row>
    <row r="56" spans="1:15" x14ac:dyDescent="0.3">
      <c r="A56" t="s">
        <v>2351</v>
      </c>
      <c r="B56">
        <v>7</v>
      </c>
      <c r="C56" s="1">
        <v>44608</v>
      </c>
      <c r="D56" t="s">
        <v>2352</v>
      </c>
      <c r="E56" t="s">
        <v>2353</v>
      </c>
      <c r="F56" t="s">
        <v>15</v>
      </c>
      <c r="G56" t="s">
        <v>148</v>
      </c>
      <c r="H56">
        <v>110</v>
      </c>
      <c r="I56">
        <v>1966</v>
      </c>
      <c r="J56" t="s">
        <v>42</v>
      </c>
      <c r="K56">
        <v>17043</v>
      </c>
      <c r="L56" s="1">
        <v>24188</v>
      </c>
      <c r="M56" s="1" t="s">
        <v>3155</v>
      </c>
      <c r="N56" t="s">
        <v>2171</v>
      </c>
      <c r="O56" t="s">
        <v>3149</v>
      </c>
    </row>
    <row r="57" spans="1:15" x14ac:dyDescent="0.3">
      <c r="A57" t="s">
        <v>2354</v>
      </c>
      <c r="B57">
        <v>7</v>
      </c>
      <c r="C57" s="1">
        <v>44536</v>
      </c>
      <c r="D57" t="s">
        <v>2355</v>
      </c>
      <c r="E57" t="s">
        <v>2356</v>
      </c>
      <c r="F57" t="s">
        <v>15</v>
      </c>
      <c r="G57" t="s">
        <v>334</v>
      </c>
      <c r="H57">
        <v>85</v>
      </c>
      <c r="I57">
        <v>1966</v>
      </c>
      <c r="J57" t="s">
        <v>117</v>
      </c>
      <c r="K57">
        <v>128713</v>
      </c>
      <c r="L57" s="1">
        <v>24398</v>
      </c>
      <c r="M57" s="1" t="s">
        <v>3186</v>
      </c>
      <c r="N57" t="s">
        <v>2357</v>
      </c>
      <c r="O57" t="s">
        <v>3149</v>
      </c>
    </row>
    <row r="58" spans="1:15" x14ac:dyDescent="0.3">
      <c r="A58" t="s">
        <v>2358</v>
      </c>
      <c r="B58">
        <v>7</v>
      </c>
      <c r="C58" s="1">
        <v>44462</v>
      </c>
      <c r="D58" t="s">
        <v>2359</v>
      </c>
      <c r="E58" t="s">
        <v>2360</v>
      </c>
      <c r="F58" t="s">
        <v>15</v>
      </c>
      <c r="G58" t="s">
        <v>16</v>
      </c>
      <c r="H58">
        <v>75</v>
      </c>
      <c r="I58">
        <v>1966</v>
      </c>
      <c r="J58" t="s">
        <v>235</v>
      </c>
      <c r="K58">
        <v>14850</v>
      </c>
      <c r="L58" s="1">
        <v>24471</v>
      </c>
      <c r="M58" s="1" t="s">
        <v>3178</v>
      </c>
      <c r="N58" t="s">
        <v>2361</v>
      </c>
      <c r="O58" t="s">
        <v>3175</v>
      </c>
    </row>
    <row r="59" spans="1:15" x14ac:dyDescent="0.3">
      <c r="A59" t="s">
        <v>2374</v>
      </c>
      <c r="B59">
        <v>8</v>
      </c>
      <c r="C59" s="1">
        <v>43904</v>
      </c>
      <c r="D59" t="s">
        <v>2375</v>
      </c>
      <c r="E59" t="s">
        <v>2376</v>
      </c>
      <c r="F59" t="s">
        <v>15</v>
      </c>
      <c r="G59" t="s">
        <v>29</v>
      </c>
      <c r="H59">
        <v>106</v>
      </c>
      <c r="I59">
        <v>1967</v>
      </c>
      <c r="J59" t="s">
        <v>17</v>
      </c>
      <c r="K59">
        <v>285680</v>
      </c>
      <c r="L59" s="1">
        <v>24826</v>
      </c>
      <c r="M59" s="1" t="s">
        <v>3165</v>
      </c>
      <c r="N59" t="s">
        <v>1796</v>
      </c>
      <c r="O59" t="s">
        <v>3149</v>
      </c>
    </row>
    <row r="60" spans="1:15" x14ac:dyDescent="0.3">
      <c r="A60" t="s">
        <v>2377</v>
      </c>
      <c r="B60">
        <v>5</v>
      </c>
      <c r="C60" s="1">
        <v>44824</v>
      </c>
      <c r="D60" t="s">
        <v>2378</v>
      </c>
      <c r="E60" t="s">
        <v>2379</v>
      </c>
      <c r="F60" t="s">
        <v>15</v>
      </c>
      <c r="G60" t="s">
        <v>148</v>
      </c>
      <c r="H60">
        <v>73</v>
      </c>
      <c r="I60">
        <v>1967</v>
      </c>
      <c r="J60" t="s">
        <v>261</v>
      </c>
      <c r="K60">
        <v>11855</v>
      </c>
      <c r="L60" s="1">
        <v>24821</v>
      </c>
      <c r="M60" s="1" t="s">
        <v>3178</v>
      </c>
      <c r="N60" t="s">
        <v>2380</v>
      </c>
      <c r="O60" t="s">
        <v>3149</v>
      </c>
    </row>
    <row r="61" spans="1:15" x14ac:dyDescent="0.3">
      <c r="A61" t="s">
        <v>2384</v>
      </c>
      <c r="B61">
        <v>6</v>
      </c>
      <c r="C61" s="1">
        <v>45220</v>
      </c>
      <c r="D61" t="s">
        <v>2385</v>
      </c>
      <c r="E61" t="s">
        <v>2386</v>
      </c>
      <c r="F61" t="s">
        <v>15</v>
      </c>
      <c r="G61" t="s">
        <v>163</v>
      </c>
      <c r="H61">
        <v>123</v>
      </c>
      <c r="I61">
        <v>1967</v>
      </c>
      <c r="J61" t="s">
        <v>1876</v>
      </c>
      <c r="K61">
        <v>9574</v>
      </c>
      <c r="L61" s="1">
        <v>24819</v>
      </c>
      <c r="M61" s="1" t="s">
        <v>3165</v>
      </c>
      <c r="N61" t="s">
        <v>2387</v>
      </c>
      <c r="O61" t="s">
        <v>3149</v>
      </c>
    </row>
    <row r="62" spans="1:15" x14ac:dyDescent="0.3">
      <c r="A62" t="s">
        <v>2388</v>
      </c>
      <c r="B62">
        <v>9</v>
      </c>
      <c r="C62" s="1">
        <v>44064</v>
      </c>
      <c r="D62" s="3" t="s">
        <v>2389</v>
      </c>
      <c r="E62" t="s">
        <v>2390</v>
      </c>
      <c r="F62" t="s">
        <v>15</v>
      </c>
      <c r="G62" t="s">
        <v>187</v>
      </c>
      <c r="H62">
        <v>149</v>
      </c>
      <c r="I62">
        <v>1968</v>
      </c>
      <c r="J62" t="s">
        <v>2391</v>
      </c>
      <c r="K62">
        <v>707652</v>
      </c>
      <c r="L62" s="1">
        <v>24930</v>
      </c>
      <c r="M62" s="1" t="s">
        <v>3165</v>
      </c>
      <c r="N62" t="s">
        <v>537</v>
      </c>
      <c r="O62" t="s">
        <v>3149</v>
      </c>
    </row>
    <row r="63" spans="1:15" x14ac:dyDescent="0.3">
      <c r="A63" t="s">
        <v>2392</v>
      </c>
      <c r="B63">
        <v>5</v>
      </c>
      <c r="C63" s="1">
        <v>43926</v>
      </c>
      <c r="D63" t="s">
        <v>2393</v>
      </c>
      <c r="E63" t="s">
        <v>2394</v>
      </c>
      <c r="F63" t="s">
        <v>15</v>
      </c>
      <c r="G63" t="s">
        <v>29</v>
      </c>
      <c r="H63">
        <v>137</v>
      </c>
      <c r="I63">
        <v>1968</v>
      </c>
      <c r="J63" t="s">
        <v>1153</v>
      </c>
      <c r="K63">
        <v>231560</v>
      </c>
      <c r="L63" s="1">
        <v>25001</v>
      </c>
      <c r="M63" s="1" t="s">
        <v>3165</v>
      </c>
      <c r="N63" t="s">
        <v>1393</v>
      </c>
      <c r="O63" t="s">
        <v>3149</v>
      </c>
    </row>
    <row r="64" spans="1:15" x14ac:dyDescent="0.3">
      <c r="A64" t="s">
        <v>2402</v>
      </c>
      <c r="B64">
        <v>7</v>
      </c>
      <c r="C64" s="1">
        <v>44390</v>
      </c>
      <c r="D64" t="s">
        <v>3150</v>
      </c>
      <c r="E64" t="s">
        <v>2403</v>
      </c>
      <c r="F64" t="s">
        <v>15</v>
      </c>
      <c r="G64" t="s">
        <v>369</v>
      </c>
      <c r="H64">
        <v>153</v>
      </c>
      <c r="I64">
        <v>1971</v>
      </c>
      <c r="J64" t="s">
        <v>1339</v>
      </c>
      <c r="K64">
        <v>7123</v>
      </c>
      <c r="L64" s="1">
        <v>26105</v>
      </c>
      <c r="M64" s="1" t="s">
        <v>3163</v>
      </c>
      <c r="N64" t="s">
        <v>2404</v>
      </c>
      <c r="O64" t="s">
        <v>3149</v>
      </c>
    </row>
    <row r="65" spans="1:15" x14ac:dyDescent="0.3">
      <c r="A65" t="s">
        <v>2409</v>
      </c>
      <c r="B65">
        <v>4</v>
      </c>
      <c r="C65" s="1">
        <v>44123</v>
      </c>
      <c r="D65" t="s">
        <v>2410</v>
      </c>
      <c r="E65" t="s">
        <v>2411</v>
      </c>
      <c r="F65" t="s">
        <v>15</v>
      </c>
      <c r="G65" t="s">
        <v>198</v>
      </c>
      <c r="H65">
        <v>77</v>
      </c>
      <c r="I65">
        <v>1970</v>
      </c>
      <c r="J65" t="s">
        <v>2412</v>
      </c>
      <c r="K65">
        <v>10954</v>
      </c>
      <c r="L65" s="1">
        <v>25814</v>
      </c>
      <c r="M65" s="1" t="s">
        <v>3178</v>
      </c>
      <c r="N65" t="s">
        <v>2413</v>
      </c>
      <c r="O65" t="s">
        <v>3149</v>
      </c>
    </row>
    <row r="66" spans="1:15" x14ac:dyDescent="0.3">
      <c r="A66" t="s">
        <v>2414</v>
      </c>
      <c r="B66">
        <v>9</v>
      </c>
      <c r="C66" s="1">
        <v>44037</v>
      </c>
      <c r="D66" t="s">
        <v>2415</v>
      </c>
      <c r="E66" t="s">
        <v>2416</v>
      </c>
      <c r="F66" t="s">
        <v>15</v>
      </c>
      <c r="G66" t="s">
        <v>187</v>
      </c>
      <c r="H66">
        <v>136</v>
      </c>
      <c r="I66">
        <v>1971</v>
      </c>
      <c r="J66" t="s">
        <v>2417</v>
      </c>
      <c r="K66">
        <v>869212</v>
      </c>
      <c r="L66" s="1">
        <v>26286</v>
      </c>
      <c r="M66" s="1" t="s">
        <v>3165</v>
      </c>
      <c r="N66" t="s">
        <v>537</v>
      </c>
      <c r="O66" t="s">
        <v>3149</v>
      </c>
    </row>
    <row r="67" spans="1:15" x14ac:dyDescent="0.3">
      <c r="A67" t="s">
        <v>2427</v>
      </c>
      <c r="B67">
        <v>6</v>
      </c>
      <c r="C67" s="1">
        <v>44644</v>
      </c>
      <c r="D67" t="s">
        <v>2428</v>
      </c>
      <c r="E67" t="s">
        <v>2429</v>
      </c>
      <c r="F67" t="s">
        <v>15</v>
      </c>
      <c r="G67" t="s">
        <v>29</v>
      </c>
      <c r="H67">
        <v>118</v>
      </c>
      <c r="I67">
        <v>1971</v>
      </c>
      <c r="J67" t="s">
        <v>42</v>
      </c>
      <c r="K67">
        <v>51606</v>
      </c>
      <c r="L67" s="1">
        <v>26208</v>
      </c>
      <c r="M67" s="1" t="s">
        <v>3165</v>
      </c>
      <c r="N67" t="s">
        <v>2430</v>
      </c>
      <c r="O67" t="s">
        <v>3149</v>
      </c>
    </row>
    <row r="68" spans="1:15" x14ac:dyDescent="0.3">
      <c r="A68" t="s">
        <v>2437</v>
      </c>
      <c r="B68">
        <v>6</v>
      </c>
      <c r="C68" s="1">
        <v>45280</v>
      </c>
      <c r="D68" t="s">
        <v>2438</v>
      </c>
      <c r="E68" t="s">
        <v>2439</v>
      </c>
      <c r="F68" t="s">
        <v>15</v>
      </c>
      <c r="G68" t="s">
        <v>41</v>
      </c>
      <c r="H68">
        <v>124</v>
      </c>
      <c r="I68">
        <v>1972</v>
      </c>
      <c r="J68" t="s">
        <v>42</v>
      </c>
      <c r="K68">
        <v>10796</v>
      </c>
      <c r="L68" s="1">
        <v>26475</v>
      </c>
      <c r="M68" s="1" t="s">
        <v>3180</v>
      </c>
      <c r="N68" t="s">
        <v>2440</v>
      </c>
      <c r="O68" t="s">
        <v>3149</v>
      </c>
    </row>
    <row r="69" spans="1:15" x14ac:dyDescent="0.3">
      <c r="A69" t="s">
        <v>2445</v>
      </c>
      <c r="B69">
        <v>8</v>
      </c>
      <c r="C69" s="1">
        <v>45109</v>
      </c>
      <c r="D69" t="s">
        <v>2446</v>
      </c>
      <c r="E69" t="s">
        <v>2447</v>
      </c>
      <c r="F69" t="s">
        <v>15</v>
      </c>
      <c r="G69" t="s">
        <v>61</v>
      </c>
      <c r="H69">
        <v>124</v>
      </c>
      <c r="I69">
        <v>1972</v>
      </c>
      <c r="J69" t="s">
        <v>347</v>
      </c>
      <c r="K69">
        <v>58440</v>
      </c>
      <c r="L69" s="1">
        <v>26342</v>
      </c>
      <c r="M69" s="1" t="s">
        <v>3165</v>
      </c>
      <c r="N69" t="s">
        <v>2448</v>
      </c>
      <c r="O69" t="s">
        <v>3149</v>
      </c>
    </row>
    <row r="70" spans="1:15" x14ac:dyDescent="0.3">
      <c r="A70" t="s">
        <v>2453</v>
      </c>
      <c r="B70">
        <v>7</v>
      </c>
      <c r="C70" s="1">
        <v>44553</v>
      </c>
      <c r="D70" t="s">
        <v>2454</v>
      </c>
      <c r="E70" t="s">
        <v>2455</v>
      </c>
      <c r="F70" t="s">
        <v>15</v>
      </c>
      <c r="G70" t="s">
        <v>158</v>
      </c>
      <c r="H70">
        <v>88</v>
      </c>
      <c r="I70">
        <v>1972</v>
      </c>
      <c r="J70" t="s">
        <v>235</v>
      </c>
      <c r="K70">
        <v>41347</v>
      </c>
      <c r="L70" s="1">
        <v>26517</v>
      </c>
      <c r="M70" s="1" t="s">
        <v>3165</v>
      </c>
      <c r="N70" t="s">
        <v>977</v>
      </c>
      <c r="O70" t="s">
        <v>3149</v>
      </c>
    </row>
    <row r="71" spans="1:15" x14ac:dyDescent="0.3">
      <c r="A71" t="s">
        <v>2460</v>
      </c>
      <c r="B71">
        <v>7</v>
      </c>
      <c r="C71" s="1">
        <v>44787</v>
      </c>
      <c r="D71" t="s">
        <v>2461</v>
      </c>
      <c r="E71" t="s">
        <v>2462</v>
      </c>
      <c r="F71" t="s">
        <v>15</v>
      </c>
      <c r="G71" t="s">
        <v>79</v>
      </c>
      <c r="H71">
        <v>90</v>
      </c>
      <c r="I71">
        <v>1972</v>
      </c>
      <c r="J71" t="s">
        <v>1171</v>
      </c>
      <c r="K71">
        <v>9059</v>
      </c>
      <c r="L71" s="1">
        <v>26639</v>
      </c>
      <c r="M71" s="1" t="s">
        <v>3155</v>
      </c>
      <c r="N71" t="s">
        <v>2463</v>
      </c>
      <c r="O71" t="s">
        <v>3149</v>
      </c>
    </row>
    <row r="72" spans="1:15" x14ac:dyDescent="0.3">
      <c r="A72" t="s">
        <v>2468</v>
      </c>
      <c r="B72">
        <v>6</v>
      </c>
      <c r="C72" s="1">
        <v>45215</v>
      </c>
      <c r="D72" t="s">
        <v>2469</v>
      </c>
      <c r="E72" t="s">
        <v>2470</v>
      </c>
      <c r="F72" t="s">
        <v>15</v>
      </c>
      <c r="G72" t="s">
        <v>163</v>
      </c>
      <c r="H72">
        <v>93</v>
      </c>
      <c r="I72">
        <v>1972</v>
      </c>
      <c r="J72" t="s">
        <v>503</v>
      </c>
      <c r="K72">
        <v>27336</v>
      </c>
      <c r="L72" s="1">
        <v>26375</v>
      </c>
      <c r="M72" s="1" t="s">
        <v>3165</v>
      </c>
      <c r="N72" t="s">
        <v>2471</v>
      </c>
      <c r="O72" t="s">
        <v>3149</v>
      </c>
    </row>
    <row r="73" spans="1:15" x14ac:dyDescent="0.3">
      <c r="A73" t="s">
        <v>2489</v>
      </c>
      <c r="B73">
        <v>8</v>
      </c>
      <c r="C73" s="1">
        <v>44394</v>
      </c>
      <c r="D73" t="s">
        <v>2490</v>
      </c>
      <c r="E73" t="s">
        <v>2491</v>
      </c>
      <c r="F73" t="s">
        <v>15</v>
      </c>
      <c r="G73" t="s">
        <v>148</v>
      </c>
      <c r="H73">
        <v>110</v>
      </c>
      <c r="I73">
        <v>1973</v>
      </c>
      <c r="J73" t="s">
        <v>261</v>
      </c>
      <c r="K73">
        <v>96883</v>
      </c>
      <c r="L73" s="1">
        <v>26872</v>
      </c>
      <c r="M73" s="1" t="s">
        <v>3165</v>
      </c>
      <c r="N73" t="s">
        <v>2492</v>
      </c>
      <c r="O73" t="s">
        <v>3149</v>
      </c>
    </row>
    <row r="74" spans="1:15" x14ac:dyDescent="0.3">
      <c r="A74" t="s">
        <v>2496</v>
      </c>
      <c r="B74">
        <v>6</v>
      </c>
      <c r="C74" s="1">
        <v>45132</v>
      </c>
      <c r="D74" t="s">
        <v>2497</v>
      </c>
      <c r="E74" t="s">
        <v>2498</v>
      </c>
      <c r="F74" t="s">
        <v>15</v>
      </c>
      <c r="G74" t="s">
        <v>198</v>
      </c>
      <c r="H74">
        <v>110</v>
      </c>
      <c r="I74">
        <v>1973</v>
      </c>
      <c r="J74" t="s">
        <v>2277</v>
      </c>
      <c r="K74">
        <v>61232</v>
      </c>
      <c r="L74" s="1">
        <v>26948</v>
      </c>
      <c r="M74" s="1" t="s">
        <v>3171</v>
      </c>
      <c r="N74" t="s">
        <v>2499</v>
      </c>
      <c r="O74" t="s">
        <v>3149</v>
      </c>
    </row>
    <row r="75" spans="1:15" x14ac:dyDescent="0.3">
      <c r="A75" t="s">
        <v>2503</v>
      </c>
      <c r="B75">
        <v>7</v>
      </c>
      <c r="C75" s="1">
        <v>44380</v>
      </c>
      <c r="D75" t="s">
        <v>2504</v>
      </c>
      <c r="E75" t="s">
        <v>2505</v>
      </c>
      <c r="F75" t="s">
        <v>15</v>
      </c>
      <c r="G75" t="s">
        <v>61</v>
      </c>
      <c r="H75">
        <v>123</v>
      </c>
      <c r="I75">
        <v>1973</v>
      </c>
      <c r="J75" t="s">
        <v>261</v>
      </c>
      <c r="K75">
        <v>46183</v>
      </c>
      <c r="L75" s="1">
        <v>27016</v>
      </c>
      <c r="M75" s="1" t="s">
        <v>3194</v>
      </c>
      <c r="N75" t="s">
        <v>2118</v>
      </c>
      <c r="O75" t="s">
        <v>3149</v>
      </c>
    </row>
    <row r="76" spans="1:15" x14ac:dyDescent="0.3">
      <c r="A76" t="s">
        <v>2516</v>
      </c>
      <c r="B76">
        <v>6</v>
      </c>
      <c r="C76" s="1">
        <v>45245</v>
      </c>
      <c r="D76" t="s">
        <v>2517</v>
      </c>
      <c r="E76" t="s">
        <v>2518</v>
      </c>
      <c r="F76" t="s">
        <v>15</v>
      </c>
      <c r="G76" t="s">
        <v>35</v>
      </c>
      <c r="H76">
        <v>103</v>
      </c>
      <c r="I76">
        <v>1975</v>
      </c>
      <c r="J76" t="s">
        <v>24</v>
      </c>
      <c r="K76">
        <v>3790</v>
      </c>
      <c r="L76" s="1">
        <v>27467</v>
      </c>
      <c r="M76" s="1" t="s">
        <v>3180</v>
      </c>
      <c r="N76" t="s">
        <v>2519</v>
      </c>
      <c r="O76" t="s">
        <v>3149</v>
      </c>
    </row>
    <row r="77" spans="1:15" x14ac:dyDescent="0.3">
      <c r="A77" t="s">
        <v>2520</v>
      </c>
      <c r="B77">
        <v>8</v>
      </c>
      <c r="C77" s="1">
        <v>44200</v>
      </c>
      <c r="D77" t="s">
        <v>2521</v>
      </c>
      <c r="E77" t="s">
        <v>2522</v>
      </c>
      <c r="F77" t="s">
        <v>15</v>
      </c>
      <c r="G77" t="s">
        <v>369</v>
      </c>
      <c r="H77">
        <v>91</v>
      </c>
      <c r="I77">
        <v>1975</v>
      </c>
      <c r="J77" t="s">
        <v>901</v>
      </c>
      <c r="K77">
        <v>563771</v>
      </c>
      <c r="L77" s="1">
        <v>27467</v>
      </c>
      <c r="M77" s="1" t="s">
        <v>3171</v>
      </c>
      <c r="N77" t="s">
        <v>2523</v>
      </c>
      <c r="O77" t="s">
        <v>3149</v>
      </c>
    </row>
    <row r="78" spans="1:15" x14ac:dyDescent="0.3">
      <c r="A78" t="s">
        <v>2533</v>
      </c>
      <c r="B78">
        <v>6</v>
      </c>
      <c r="C78" s="1">
        <v>45083</v>
      </c>
      <c r="D78" t="s">
        <v>2534</v>
      </c>
      <c r="E78" t="s">
        <v>2535</v>
      </c>
      <c r="F78" t="s">
        <v>15</v>
      </c>
      <c r="G78" t="s">
        <v>524</v>
      </c>
      <c r="H78">
        <v>118</v>
      </c>
      <c r="I78">
        <v>1974</v>
      </c>
      <c r="J78" t="s">
        <v>24</v>
      </c>
      <c r="K78">
        <v>14429</v>
      </c>
      <c r="L78" s="1">
        <v>27122</v>
      </c>
      <c r="M78" s="1" t="s">
        <v>3194</v>
      </c>
      <c r="N78" t="s">
        <v>2536</v>
      </c>
      <c r="O78" t="s">
        <v>3175</v>
      </c>
    </row>
    <row r="79" spans="1:15" x14ac:dyDescent="0.3">
      <c r="A79" t="s">
        <v>2549</v>
      </c>
      <c r="B79">
        <v>8</v>
      </c>
      <c r="C79" s="1">
        <v>44342</v>
      </c>
      <c r="D79" t="s">
        <v>2550</v>
      </c>
      <c r="E79" t="s">
        <v>2551</v>
      </c>
      <c r="F79" t="s">
        <v>15</v>
      </c>
      <c r="G79" t="s">
        <v>1409</v>
      </c>
      <c r="H79">
        <v>133</v>
      </c>
      <c r="I79">
        <v>1975</v>
      </c>
      <c r="J79" t="s">
        <v>24</v>
      </c>
      <c r="K79">
        <v>1055258</v>
      </c>
      <c r="L79" s="1">
        <v>27717</v>
      </c>
      <c r="M79" s="1" t="s">
        <v>3165</v>
      </c>
      <c r="N79" t="s">
        <v>2380</v>
      </c>
      <c r="O79" t="s">
        <v>3149</v>
      </c>
    </row>
    <row r="80" spans="1:15" x14ac:dyDescent="0.3">
      <c r="A80" t="s">
        <v>2557</v>
      </c>
      <c r="B80">
        <v>7</v>
      </c>
      <c r="C80" s="1">
        <v>43750</v>
      </c>
      <c r="D80" t="s">
        <v>2558</v>
      </c>
      <c r="E80" t="s">
        <v>2559</v>
      </c>
      <c r="F80" t="s">
        <v>15</v>
      </c>
      <c r="G80" t="s">
        <v>148</v>
      </c>
      <c r="H80">
        <v>100</v>
      </c>
      <c r="I80">
        <v>1975</v>
      </c>
      <c r="J80" t="s">
        <v>2560</v>
      </c>
      <c r="K80">
        <v>164609</v>
      </c>
      <c r="L80" s="1">
        <v>27620</v>
      </c>
      <c r="M80" s="1" t="s">
        <v>3171</v>
      </c>
      <c r="N80" t="s">
        <v>2561</v>
      </c>
      <c r="O80" t="s">
        <v>3149</v>
      </c>
    </row>
    <row r="81" spans="1:15" x14ac:dyDescent="0.3">
      <c r="A81" t="s">
        <v>2574</v>
      </c>
      <c r="B81">
        <v>6</v>
      </c>
      <c r="C81" s="1">
        <v>44180</v>
      </c>
      <c r="D81" t="s">
        <v>2575</v>
      </c>
      <c r="E81" t="s">
        <v>2576</v>
      </c>
      <c r="F81" t="s">
        <v>15</v>
      </c>
      <c r="G81" t="s">
        <v>16</v>
      </c>
      <c r="H81">
        <v>89</v>
      </c>
      <c r="I81">
        <v>1977</v>
      </c>
      <c r="J81" t="s">
        <v>2577</v>
      </c>
      <c r="K81">
        <v>125117</v>
      </c>
      <c r="L81" s="1">
        <v>28203</v>
      </c>
      <c r="M81" s="1" t="s">
        <v>3165</v>
      </c>
      <c r="N81" t="s">
        <v>452</v>
      </c>
      <c r="O81" t="s">
        <v>3149</v>
      </c>
    </row>
    <row r="82" spans="1:15" x14ac:dyDescent="0.3">
      <c r="A82" t="s">
        <v>2583</v>
      </c>
      <c r="B82">
        <v>7</v>
      </c>
      <c r="C82" s="1">
        <v>44144</v>
      </c>
      <c r="D82" t="s">
        <v>2584</v>
      </c>
      <c r="E82" t="s">
        <v>2585</v>
      </c>
      <c r="F82" t="s">
        <v>15</v>
      </c>
      <c r="G82" t="s">
        <v>369</v>
      </c>
      <c r="H82">
        <v>114</v>
      </c>
      <c r="I82">
        <v>1976</v>
      </c>
      <c r="J82" t="s">
        <v>325</v>
      </c>
      <c r="K82">
        <v>901310</v>
      </c>
      <c r="L82" s="1">
        <v>27798</v>
      </c>
      <c r="M82" s="1" t="s">
        <v>3165</v>
      </c>
      <c r="N82" t="s">
        <v>371</v>
      </c>
      <c r="O82" t="s">
        <v>3149</v>
      </c>
    </row>
    <row r="83" spans="1:15" x14ac:dyDescent="0.3">
      <c r="A83" t="s">
        <v>2590</v>
      </c>
      <c r="B83">
        <v>7</v>
      </c>
      <c r="C83" s="1">
        <v>44241</v>
      </c>
      <c r="D83" t="s">
        <v>2591</v>
      </c>
      <c r="E83" t="s">
        <v>2592</v>
      </c>
      <c r="F83" t="s">
        <v>15</v>
      </c>
      <c r="G83" t="s">
        <v>29</v>
      </c>
      <c r="H83">
        <v>93</v>
      </c>
      <c r="I83">
        <v>1977</v>
      </c>
      <c r="J83" t="s">
        <v>225</v>
      </c>
      <c r="K83">
        <v>274972</v>
      </c>
      <c r="L83" s="1">
        <v>28211</v>
      </c>
      <c r="M83" s="1" t="s">
        <v>3165</v>
      </c>
      <c r="N83" t="s">
        <v>977</v>
      </c>
      <c r="O83" t="s">
        <v>3149</v>
      </c>
    </row>
    <row r="84" spans="1:15" x14ac:dyDescent="0.3">
      <c r="A84" t="s">
        <v>2602</v>
      </c>
      <c r="B84">
        <v>7</v>
      </c>
      <c r="C84" s="1">
        <v>45073</v>
      </c>
      <c r="D84" t="s">
        <v>156</v>
      </c>
      <c r="E84" t="s">
        <v>2603</v>
      </c>
      <c r="F84" t="s">
        <v>15</v>
      </c>
      <c r="G84" t="s">
        <v>16</v>
      </c>
      <c r="H84">
        <v>99</v>
      </c>
      <c r="I84">
        <v>1977</v>
      </c>
      <c r="J84" t="s">
        <v>2604</v>
      </c>
      <c r="K84">
        <v>103315</v>
      </c>
      <c r="L84" s="1">
        <v>28157</v>
      </c>
      <c r="M84" s="1" t="s">
        <v>3194</v>
      </c>
      <c r="N84" t="s">
        <v>2605</v>
      </c>
      <c r="O84" t="s">
        <v>3149</v>
      </c>
    </row>
    <row r="85" spans="1:15" x14ac:dyDescent="0.3">
      <c r="A85" t="s">
        <v>2661</v>
      </c>
      <c r="B85">
        <v>6</v>
      </c>
      <c r="C85" s="1">
        <v>45142</v>
      </c>
      <c r="D85" t="s">
        <v>2662</v>
      </c>
      <c r="E85" t="s">
        <v>2663</v>
      </c>
      <c r="F85" t="s">
        <v>15</v>
      </c>
      <c r="G85" t="s">
        <v>23</v>
      </c>
      <c r="H85">
        <v>117</v>
      </c>
      <c r="I85">
        <v>1979</v>
      </c>
      <c r="J85" t="s">
        <v>2664</v>
      </c>
      <c r="K85">
        <v>933335</v>
      </c>
      <c r="L85" s="1">
        <v>29000</v>
      </c>
      <c r="M85" s="1" t="s">
        <v>3165</v>
      </c>
      <c r="N85" t="s">
        <v>139</v>
      </c>
      <c r="O85" t="s">
        <v>3149</v>
      </c>
    </row>
    <row r="86" spans="1:15" x14ac:dyDescent="0.3">
      <c r="A86" t="s">
        <v>2669</v>
      </c>
      <c r="B86">
        <v>7</v>
      </c>
      <c r="C86" s="1">
        <v>45146</v>
      </c>
      <c r="D86" t="s">
        <v>2670</v>
      </c>
      <c r="E86" t="s">
        <v>2671</v>
      </c>
      <c r="F86" t="s">
        <v>15</v>
      </c>
      <c r="G86" t="s">
        <v>61</v>
      </c>
      <c r="H86">
        <v>123</v>
      </c>
      <c r="I86">
        <v>1979</v>
      </c>
      <c r="J86" t="s">
        <v>2672</v>
      </c>
      <c r="K86">
        <v>34568</v>
      </c>
      <c r="L86" s="1">
        <v>29205</v>
      </c>
      <c r="M86" s="1" t="s">
        <v>3165</v>
      </c>
      <c r="N86" t="s">
        <v>2448</v>
      </c>
      <c r="O86" t="s">
        <v>3149</v>
      </c>
    </row>
    <row r="87" spans="1:15" x14ac:dyDescent="0.3">
      <c r="A87" t="s">
        <v>2676</v>
      </c>
      <c r="B87">
        <v>7</v>
      </c>
      <c r="C87" s="1">
        <v>44392</v>
      </c>
      <c r="D87" t="s">
        <v>2677</v>
      </c>
      <c r="E87" t="s">
        <v>2678</v>
      </c>
      <c r="F87" t="s">
        <v>15</v>
      </c>
      <c r="G87" t="s">
        <v>927</v>
      </c>
      <c r="H87">
        <v>147</v>
      </c>
      <c r="I87">
        <v>1979</v>
      </c>
      <c r="J87" t="s">
        <v>2679</v>
      </c>
      <c r="K87">
        <v>699802</v>
      </c>
      <c r="L87" s="1">
        <v>28994</v>
      </c>
      <c r="M87" s="1" t="s">
        <v>3165</v>
      </c>
      <c r="N87" t="s">
        <v>2680</v>
      </c>
      <c r="O87" t="s">
        <v>3149</v>
      </c>
    </row>
    <row r="88" spans="1:15" x14ac:dyDescent="0.3">
      <c r="A88" t="s">
        <v>2681</v>
      </c>
      <c r="B88">
        <v>7</v>
      </c>
      <c r="C88" s="1">
        <v>45131</v>
      </c>
      <c r="D88" t="s">
        <v>2682</v>
      </c>
      <c r="E88" t="s">
        <v>2683</v>
      </c>
      <c r="F88" t="s">
        <v>15</v>
      </c>
      <c r="G88" t="s">
        <v>84</v>
      </c>
      <c r="H88">
        <v>120</v>
      </c>
      <c r="I88">
        <v>1979</v>
      </c>
      <c r="J88" t="s">
        <v>24</v>
      </c>
      <c r="K88">
        <v>14694</v>
      </c>
      <c r="L88" s="1">
        <v>28906</v>
      </c>
      <c r="M88" s="1" t="s">
        <v>3180</v>
      </c>
      <c r="N88" t="s">
        <v>2440</v>
      </c>
      <c r="O88" t="s">
        <v>3149</v>
      </c>
    </row>
    <row r="89" spans="1:15" x14ac:dyDescent="0.3">
      <c r="A89" t="s">
        <v>2688</v>
      </c>
      <c r="B89">
        <v>7</v>
      </c>
      <c r="C89" s="1">
        <v>44205</v>
      </c>
      <c r="D89" t="s">
        <v>2689</v>
      </c>
      <c r="E89" t="s">
        <v>2690</v>
      </c>
      <c r="F89" t="s">
        <v>15</v>
      </c>
      <c r="G89" t="s">
        <v>29</v>
      </c>
      <c r="H89">
        <v>94</v>
      </c>
      <c r="I89">
        <v>1979</v>
      </c>
      <c r="J89" t="s">
        <v>235</v>
      </c>
      <c r="K89">
        <v>418810</v>
      </c>
      <c r="L89" s="1">
        <v>29084</v>
      </c>
      <c r="M89" s="1" t="s">
        <v>3171</v>
      </c>
      <c r="N89" t="s">
        <v>2691</v>
      </c>
      <c r="O89" t="s">
        <v>3149</v>
      </c>
    </row>
    <row r="90" spans="1:15" x14ac:dyDescent="0.3">
      <c r="A90" t="s">
        <v>2692</v>
      </c>
      <c r="B90">
        <v>7</v>
      </c>
      <c r="C90" s="1">
        <v>43890</v>
      </c>
      <c r="D90" t="s">
        <v>2693</v>
      </c>
      <c r="E90" t="s">
        <v>2694</v>
      </c>
      <c r="F90" t="s">
        <v>15</v>
      </c>
      <c r="G90" t="s">
        <v>61</v>
      </c>
      <c r="H90">
        <v>96</v>
      </c>
      <c r="I90">
        <v>1979</v>
      </c>
      <c r="J90" t="s">
        <v>17</v>
      </c>
      <c r="K90">
        <v>145530</v>
      </c>
      <c r="L90" s="1">
        <v>28963</v>
      </c>
      <c r="M90" s="1" t="s">
        <v>3165</v>
      </c>
      <c r="N90" t="s">
        <v>977</v>
      </c>
      <c r="O90" t="s">
        <v>3149</v>
      </c>
    </row>
    <row r="91" spans="1:15" x14ac:dyDescent="0.3">
      <c r="A91" t="s">
        <v>2702</v>
      </c>
      <c r="B91">
        <v>7</v>
      </c>
      <c r="C91" s="1">
        <v>44737</v>
      </c>
      <c r="D91" t="s">
        <v>2703</v>
      </c>
      <c r="E91" t="s">
        <v>2704</v>
      </c>
      <c r="F91" t="s">
        <v>15</v>
      </c>
      <c r="G91" t="s">
        <v>41</v>
      </c>
      <c r="H91">
        <v>100</v>
      </c>
      <c r="I91">
        <v>1979</v>
      </c>
      <c r="J91" t="s">
        <v>24</v>
      </c>
      <c r="K91">
        <v>332</v>
      </c>
      <c r="L91" s="1">
        <v>29220</v>
      </c>
      <c r="M91" s="1" t="s">
        <v>3179</v>
      </c>
      <c r="N91" t="s">
        <v>2705</v>
      </c>
      <c r="O91" t="s">
        <v>3149</v>
      </c>
    </row>
    <row r="92" spans="1:15" x14ac:dyDescent="0.3">
      <c r="A92" t="s">
        <v>2713</v>
      </c>
      <c r="B92">
        <v>6</v>
      </c>
      <c r="C92" s="1">
        <v>44235</v>
      </c>
      <c r="D92" t="s">
        <v>2714</v>
      </c>
      <c r="E92" t="s">
        <v>2715</v>
      </c>
      <c r="F92" t="s">
        <v>15</v>
      </c>
      <c r="G92" t="s">
        <v>369</v>
      </c>
      <c r="H92">
        <v>124</v>
      </c>
      <c r="I92">
        <v>1980</v>
      </c>
      <c r="J92" t="s">
        <v>574</v>
      </c>
      <c r="K92">
        <v>254747</v>
      </c>
      <c r="L92" s="1">
        <v>29496</v>
      </c>
      <c r="M92" s="1" t="s">
        <v>3165</v>
      </c>
      <c r="N92" t="s">
        <v>452</v>
      </c>
      <c r="O92" t="s">
        <v>3149</v>
      </c>
    </row>
    <row r="93" spans="1:15" x14ac:dyDescent="0.3">
      <c r="A93" t="s">
        <v>2740</v>
      </c>
      <c r="B93">
        <v>5</v>
      </c>
      <c r="C93" s="1">
        <v>43836</v>
      </c>
      <c r="D93" t="s">
        <v>2741</v>
      </c>
      <c r="E93" t="s">
        <v>2742</v>
      </c>
      <c r="F93" t="s">
        <v>15</v>
      </c>
      <c r="G93" t="s">
        <v>927</v>
      </c>
      <c r="H93">
        <v>146</v>
      </c>
      <c r="I93">
        <v>1980</v>
      </c>
      <c r="J93" t="s">
        <v>1153</v>
      </c>
      <c r="K93">
        <v>1087589</v>
      </c>
      <c r="L93" s="1">
        <v>29364</v>
      </c>
      <c r="M93" s="1" t="s">
        <v>3165</v>
      </c>
      <c r="N93" t="s">
        <v>537</v>
      </c>
      <c r="O93" t="s">
        <v>3149</v>
      </c>
    </row>
    <row r="94" spans="1:15" x14ac:dyDescent="0.3">
      <c r="A94" t="s">
        <v>2759</v>
      </c>
      <c r="B94">
        <v>5</v>
      </c>
      <c r="C94" s="1">
        <v>45136</v>
      </c>
      <c r="D94" t="s">
        <v>2760</v>
      </c>
      <c r="E94" t="s">
        <v>2761</v>
      </c>
      <c r="F94" t="s">
        <v>15</v>
      </c>
      <c r="G94" t="s">
        <v>148</v>
      </c>
      <c r="H94">
        <v>115</v>
      </c>
      <c r="I94">
        <v>1981</v>
      </c>
      <c r="J94" t="s">
        <v>42</v>
      </c>
      <c r="K94">
        <v>6733</v>
      </c>
      <c r="L94" s="1">
        <v>29818</v>
      </c>
      <c r="M94" s="1" t="s">
        <v>3180</v>
      </c>
      <c r="N94" t="s">
        <v>2440</v>
      </c>
      <c r="O94" t="s">
        <v>3149</v>
      </c>
    </row>
    <row r="95" spans="1:15" x14ac:dyDescent="0.3">
      <c r="A95" t="s">
        <v>2766</v>
      </c>
      <c r="B95">
        <v>4</v>
      </c>
      <c r="C95" s="1">
        <v>44815</v>
      </c>
      <c r="D95" t="s">
        <v>2767</v>
      </c>
      <c r="E95" t="s">
        <v>2768</v>
      </c>
      <c r="F95" t="s">
        <v>15</v>
      </c>
      <c r="G95" t="s">
        <v>16</v>
      </c>
      <c r="H95">
        <v>124</v>
      </c>
      <c r="I95">
        <v>1981</v>
      </c>
      <c r="J95" t="s">
        <v>1153</v>
      </c>
      <c r="K95">
        <v>40860</v>
      </c>
      <c r="L95" s="1">
        <v>29731</v>
      </c>
      <c r="M95" s="1" t="s">
        <v>3155</v>
      </c>
      <c r="N95" t="s">
        <v>2769</v>
      </c>
      <c r="O95" t="s">
        <v>3149</v>
      </c>
    </row>
    <row r="96" spans="1:15" x14ac:dyDescent="0.3">
      <c r="A96" t="s">
        <v>2812</v>
      </c>
      <c r="B96">
        <v>6</v>
      </c>
      <c r="C96" s="1">
        <v>45253</v>
      </c>
      <c r="D96" t="s">
        <v>2813</v>
      </c>
      <c r="E96" t="s">
        <v>2814</v>
      </c>
      <c r="F96" t="s">
        <v>15</v>
      </c>
      <c r="G96" t="s">
        <v>29</v>
      </c>
      <c r="H96">
        <v>95</v>
      </c>
      <c r="I96">
        <v>1982</v>
      </c>
      <c r="J96" t="s">
        <v>2815</v>
      </c>
      <c r="K96">
        <v>84491</v>
      </c>
      <c r="L96" s="1">
        <v>30094</v>
      </c>
      <c r="M96" s="1" t="s">
        <v>3171</v>
      </c>
      <c r="N96" t="s">
        <v>2816</v>
      </c>
      <c r="O96" t="s">
        <v>3149</v>
      </c>
    </row>
    <row r="97" spans="1:15" x14ac:dyDescent="0.3">
      <c r="A97" t="s">
        <v>2817</v>
      </c>
      <c r="B97">
        <v>6</v>
      </c>
      <c r="C97" s="1">
        <v>44814</v>
      </c>
      <c r="D97" t="s">
        <v>2818</v>
      </c>
      <c r="E97" t="s">
        <v>2819</v>
      </c>
      <c r="F97" t="s">
        <v>15</v>
      </c>
      <c r="G97" t="s">
        <v>56</v>
      </c>
      <c r="H97">
        <v>92</v>
      </c>
      <c r="I97">
        <v>1983</v>
      </c>
      <c r="J97" t="s">
        <v>24</v>
      </c>
      <c r="K97">
        <v>1323</v>
      </c>
      <c r="L97" s="1">
        <v>30333</v>
      </c>
      <c r="M97" s="1" t="s">
        <v>3179</v>
      </c>
      <c r="N97" t="s">
        <v>2820</v>
      </c>
      <c r="O97" t="s">
        <v>3175</v>
      </c>
    </row>
    <row r="98" spans="1:15" x14ac:dyDescent="0.3">
      <c r="A98" t="s">
        <v>2821</v>
      </c>
      <c r="B98">
        <v>7</v>
      </c>
      <c r="C98" s="1">
        <v>44955</v>
      </c>
      <c r="D98" t="s">
        <v>2822</v>
      </c>
      <c r="E98" t="s">
        <v>2823</v>
      </c>
      <c r="F98" t="s">
        <v>15</v>
      </c>
      <c r="G98" t="s">
        <v>84</v>
      </c>
      <c r="H98">
        <v>114</v>
      </c>
      <c r="I98">
        <v>1987</v>
      </c>
      <c r="J98" t="s">
        <v>42</v>
      </c>
      <c r="K98">
        <v>10957</v>
      </c>
      <c r="L98" s="1">
        <v>31787</v>
      </c>
      <c r="M98" s="1" t="s">
        <v>3166</v>
      </c>
      <c r="N98" t="s">
        <v>86</v>
      </c>
      <c r="O98" t="s">
        <v>3149</v>
      </c>
    </row>
    <row r="99" spans="1:15" x14ac:dyDescent="0.3">
      <c r="A99" t="s">
        <v>2824</v>
      </c>
      <c r="B99">
        <v>6</v>
      </c>
      <c r="C99" s="1">
        <v>45152</v>
      </c>
      <c r="D99" t="s">
        <v>2825</v>
      </c>
      <c r="E99" t="s">
        <v>2826</v>
      </c>
      <c r="F99" t="s">
        <v>15</v>
      </c>
      <c r="G99" t="s">
        <v>41</v>
      </c>
      <c r="H99">
        <v>104</v>
      </c>
      <c r="I99">
        <v>1982</v>
      </c>
      <c r="J99" t="s">
        <v>24</v>
      </c>
      <c r="K99">
        <v>7684</v>
      </c>
      <c r="L99" s="1">
        <v>30000</v>
      </c>
      <c r="M99" s="1" t="s">
        <v>3180</v>
      </c>
      <c r="N99" t="s">
        <v>2440</v>
      </c>
      <c r="O99" t="s">
        <v>3149</v>
      </c>
    </row>
    <row r="100" spans="1:15" x14ac:dyDescent="0.3">
      <c r="A100" t="s">
        <v>2839</v>
      </c>
      <c r="B100">
        <v>5</v>
      </c>
      <c r="C100" s="1">
        <v>44145</v>
      </c>
      <c r="D100" t="s">
        <v>2840</v>
      </c>
      <c r="E100" t="s">
        <v>2841</v>
      </c>
      <c r="F100" t="s">
        <v>15</v>
      </c>
      <c r="G100" t="s">
        <v>61</v>
      </c>
      <c r="H100">
        <v>109</v>
      </c>
      <c r="I100">
        <v>1982</v>
      </c>
      <c r="J100" t="s">
        <v>2650</v>
      </c>
      <c r="K100">
        <v>115986</v>
      </c>
      <c r="L100" s="1">
        <v>30303</v>
      </c>
      <c r="M100" s="1" t="s">
        <v>3165</v>
      </c>
      <c r="N100" t="s">
        <v>371</v>
      </c>
      <c r="O100" t="s">
        <v>3149</v>
      </c>
    </row>
    <row r="101" spans="1:15" x14ac:dyDescent="0.3">
      <c r="A101" t="s">
        <v>2855</v>
      </c>
      <c r="B101">
        <v>8</v>
      </c>
      <c r="C101" s="1">
        <v>44585</v>
      </c>
      <c r="D101" t="s">
        <v>2856</v>
      </c>
      <c r="E101" t="s">
        <v>2857</v>
      </c>
      <c r="F101" t="s">
        <v>15</v>
      </c>
      <c r="G101" t="s">
        <v>187</v>
      </c>
      <c r="H101">
        <v>170</v>
      </c>
      <c r="I101">
        <v>1983</v>
      </c>
      <c r="J101" t="s">
        <v>325</v>
      </c>
      <c r="K101">
        <v>898778</v>
      </c>
      <c r="L101" s="1">
        <v>30651</v>
      </c>
      <c r="M101" s="1" t="s">
        <v>3165</v>
      </c>
      <c r="N101" t="s">
        <v>2858</v>
      </c>
      <c r="O101" t="s">
        <v>3149</v>
      </c>
    </row>
    <row r="102" spans="1:15" x14ac:dyDescent="0.3">
      <c r="A102" t="s">
        <v>2863</v>
      </c>
      <c r="B102">
        <v>6</v>
      </c>
      <c r="C102" s="1">
        <v>44884</v>
      </c>
      <c r="D102" t="s">
        <v>2864</v>
      </c>
      <c r="E102" t="s">
        <v>2865</v>
      </c>
      <c r="F102" t="s">
        <v>15</v>
      </c>
      <c r="G102" t="s">
        <v>79</v>
      </c>
      <c r="H102">
        <v>87</v>
      </c>
      <c r="I102">
        <v>1983</v>
      </c>
      <c r="J102" t="s">
        <v>2757</v>
      </c>
      <c r="K102">
        <v>101125</v>
      </c>
      <c r="L102" s="1">
        <v>30351</v>
      </c>
      <c r="M102" s="1" t="s">
        <v>3169</v>
      </c>
      <c r="N102" t="s">
        <v>253</v>
      </c>
      <c r="O102" t="s">
        <v>3149</v>
      </c>
    </row>
    <row r="103" spans="1:15" x14ac:dyDescent="0.3">
      <c r="A103" t="s">
        <v>2866</v>
      </c>
      <c r="B103">
        <v>7</v>
      </c>
      <c r="C103" s="1">
        <v>45141</v>
      </c>
      <c r="D103" t="s">
        <v>2867</v>
      </c>
      <c r="E103" t="s">
        <v>2868</v>
      </c>
      <c r="F103" t="s">
        <v>15</v>
      </c>
      <c r="G103" t="s">
        <v>927</v>
      </c>
      <c r="H103">
        <v>160</v>
      </c>
      <c r="I103">
        <v>1984</v>
      </c>
      <c r="J103" t="s">
        <v>74</v>
      </c>
      <c r="K103">
        <v>421731</v>
      </c>
      <c r="L103" s="1">
        <v>30931</v>
      </c>
      <c r="M103" s="1" t="s">
        <v>3165</v>
      </c>
      <c r="N103" t="s">
        <v>2380</v>
      </c>
      <c r="O103" t="s">
        <v>3149</v>
      </c>
    </row>
    <row r="104" spans="1:15" x14ac:dyDescent="0.3">
      <c r="A104" t="s">
        <v>2869</v>
      </c>
      <c r="B104">
        <v>4</v>
      </c>
      <c r="C104" s="1">
        <v>44901</v>
      </c>
      <c r="D104" t="s">
        <v>2870</v>
      </c>
      <c r="E104" t="s">
        <v>2871</v>
      </c>
      <c r="F104" t="s">
        <v>15</v>
      </c>
      <c r="G104" t="s">
        <v>67</v>
      </c>
      <c r="H104">
        <v>114</v>
      </c>
      <c r="I104">
        <v>1984</v>
      </c>
      <c r="J104" t="s">
        <v>409</v>
      </c>
      <c r="K104">
        <v>37248</v>
      </c>
      <c r="L104" s="1">
        <v>30970</v>
      </c>
      <c r="M104" s="1" t="s">
        <v>3165</v>
      </c>
      <c r="N104" t="s">
        <v>2858</v>
      </c>
      <c r="O104" t="s">
        <v>3149</v>
      </c>
    </row>
    <row r="105" spans="1:15" x14ac:dyDescent="0.3">
      <c r="A105" t="s">
        <v>2893</v>
      </c>
      <c r="B105">
        <v>8</v>
      </c>
      <c r="C105" s="1">
        <v>44967</v>
      </c>
      <c r="D105" t="s">
        <v>2894</v>
      </c>
      <c r="E105" t="s">
        <v>2895</v>
      </c>
      <c r="F105" t="s">
        <v>15</v>
      </c>
      <c r="G105" t="s">
        <v>334</v>
      </c>
      <c r="H105">
        <v>145</v>
      </c>
      <c r="I105">
        <v>1984</v>
      </c>
      <c r="J105" t="s">
        <v>24</v>
      </c>
      <c r="K105">
        <v>115521</v>
      </c>
      <c r="L105" s="1">
        <v>30821</v>
      </c>
      <c r="M105" s="1" t="s">
        <v>3165</v>
      </c>
      <c r="N105" t="s">
        <v>2519</v>
      </c>
      <c r="O105" t="s">
        <v>3149</v>
      </c>
    </row>
    <row r="106" spans="1:15" x14ac:dyDescent="0.3">
      <c r="A106" t="s">
        <v>2899</v>
      </c>
      <c r="B106">
        <v>7</v>
      </c>
      <c r="C106" s="1">
        <v>44958</v>
      </c>
      <c r="D106" t="s">
        <v>2900</v>
      </c>
      <c r="E106" t="s">
        <v>2901</v>
      </c>
      <c r="F106" t="s">
        <v>15</v>
      </c>
      <c r="G106" t="s">
        <v>56</v>
      </c>
      <c r="H106">
        <v>117</v>
      </c>
      <c r="I106">
        <v>1984</v>
      </c>
      <c r="J106" t="s">
        <v>2902</v>
      </c>
      <c r="K106">
        <v>14166</v>
      </c>
      <c r="L106" s="1">
        <v>30816</v>
      </c>
      <c r="M106" s="1" t="s">
        <v>3166</v>
      </c>
      <c r="N106" t="s">
        <v>2903</v>
      </c>
      <c r="O106" t="s">
        <v>3149</v>
      </c>
    </row>
    <row r="107" spans="1:15" x14ac:dyDescent="0.3">
      <c r="A107" t="s">
        <v>2904</v>
      </c>
      <c r="B107">
        <v>6</v>
      </c>
      <c r="C107" s="1">
        <v>44811</v>
      </c>
      <c r="D107" t="s">
        <v>2905</v>
      </c>
      <c r="E107" t="s">
        <v>2906</v>
      </c>
      <c r="F107" t="s">
        <v>15</v>
      </c>
      <c r="G107" t="s">
        <v>143</v>
      </c>
      <c r="H107">
        <v>82</v>
      </c>
      <c r="I107">
        <v>1984</v>
      </c>
      <c r="J107" t="s">
        <v>1659</v>
      </c>
      <c r="K107">
        <v>145385</v>
      </c>
      <c r="L107" s="1">
        <v>30743</v>
      </c>
      <c r="M107" s="1" t="s">
        <v>3165</v>
      </c>
      <c r="N107" t="s">
        <v>2907</v>
      </c>
      <c r="O107" t="s">
        <v>3149</v>
      </c>
    </row>
    <row r="108" spans="1:15" x14ac:dyDescent="0.3">
      <c r="A108" t="s">
        <v>2916</v>
      </c>
      <c r="B108">
        <v>8</v>
      </c>
      <c r="C108" s="1">
        <v>43571</v>
      </c>
      <c r="D108" t="s">
        <v>2917</v>
      </c>
      <c r="E108" t="s">
        <v>2918</v>
      </c>
      <c r="F108" t="s">
        <v>15</v>
      </c>
      <c r="G108" t="s">
        <v>23</v>
      </c>
      <c r="H108">
        <v>116</v>
      </c>
      <c r="I108">
        <v>1985</v>
      </c>
      <c r="J108" t="s">
        <v>2902</v>
      </c>
      <c r="K108">
        <v>1282546</v>
      </c>
      <c r="L108" s="1">
        <v>31231</v>
      </c>
      <c r="M108" s="1" t="s">
        <v>3165</v>
      </c>
      <c r="N108" t="s">
        <v>2919</v>
      </c>
      <c r="O108" t="s">
        <v>3149</v>
      </c>
    </row>
    <row r="109" spans="1:15" x14ac:dyDescent="0.3">
      <c r="A109" t="s">
        <v>2923</v>
      </c>
      <c r="B109">
        <v>7</v>
      </c>
      <c r="C109" s="1">
        <v>44004</v>
      </c>
      <c r="D109" t="s">
        <v>2924</v>
      </c>
      <c r="E109" t="s">
        <v>2925</v>
      </c>
      <c r="F109" t="s">
        <v>15</v>
      </c>
      <c r="G109" t="s">
        <v>61</v>
      </c>
      <c r="H109">
        <v>97</v>
      </c>
      <c r="I109">
        <v>1985</v>
      </c>
      <c r="J109" t="s">
        <v>261</v>
      </c>
      <c r="K109">
        <v>429165</v>
      </c>
      <c r="L109" s="1">
        <v>31085</v>
      </c>
      <c r="M109" s="1" t="s">
        <v>3165</v>
      </c>
      <c r="N109" t="s">
        <v>2926</v>
      </c>
      <c r="O109" t="s">
        <v>3149</v>
      </c>
    </row>
    <row r="110" spans="1:15" x14ac:dyDescent="0.3">
      <c r="A110" t="s">
        <v>2947</v>
      </c>
      <c r="B110">
        <v>6</v>
      </c>
      <c r="C110" s="1">
        <v>45143</v>
      </c>
      <c r="D110" t="s">
        <v>2948</v>
      </c>
      <c r="E110" t="s">
        <v>2949</v>
      </c>
      <c r="F110" t="s">
        <v>15</v>
      </c>
      <c r="G110" t="s">
        <v>927</v>
      </c>
      <c r="H110">
        <v>137</v>
      </c>
      <c r="I110">
        <v>1986</v>
      </c>
      <c r="J110" t="s">
        <v>755</v>
      </c>
      <c r="K110">
        <v>751873</v>
      </c>
      <c r="L110" s="1">
        <v>31607</v>
      </c>
      <c r="M110" s="1" t="s">
        <v>3165</v>
      </c>
      <c r="N110" t="s">
        <v>2099</v>
      </c>
      <c r="O110" t="s">
        <v>3149</v>
      </c>
    </row>
    <row r="111" spans="1:15" x14ac:dyDescent="0.3">
      <c r="A111" t="s">
        <v>2950</v>
      </c>
      <c r="B111">
        <v>8</v>
      </c>
      <c r="C111" s="1">
        <v>44823</v>
      </c>
      <c r="D111" t="s">
        <v>2951</v>
      </c>
      <c r="E111" t="s">
        <v>2952</v>
      </c>
      <c r="F111" t="s">
        <v>15</v>
      </c>
      <c r="G111" t="s">
        <v>84</v>
      </c>
      <c r="H111">
        <v>120</v>
      </c>
      <c r="I111">
        <v>1986</v>
      </c>
      <c r="J111" t="s">
        <v>409</v>
      </c>
      <c r="K111">
        <v>212032</v>
      </c>
      <c r="L111" s="1">
        <v>31654</v>
      </c>
      <c r="M111" s="1" t="s">
        <v>3165</v>
      </c>
      <c r="N111" t="s">
        <v>452</v>
      </c>
      <c r="O111" t="s">
        <v>3149</v>
      </c>
    </row>
    <row r="112" spans="1:15" x14ac:dyDescent="0.3">
      <c r="A112" t="s">
        <v>2984</v>
      </c>
      <c r="B112">
        <v>7</v>
      </c>
      <c r="C112" s="1">
        <v>43905</v>
      </c>
      <c r="D112" t="s">
        <v>2985</v>
      </c>
      <c r="E112" t="s">
        <v>2986</v>
      </c>
      <c r="F112" t="s">
        <v>15</v>
      </c>
      <c r="G112" t="s">
        <v>334</v>
      </c>
      <c r="H112">
        <v>89</v>
      </c>
      <c r="I112">
        <v>1986</v>
      </c>
      <c r="J112" t="s">
        <v>1959</v>
      </c>
      <c r="K112">
        <v>433270</v>
      </c>
      <c r="L112" s="1">
        <v>31630</v>
      </c>
      <c r="M112" s="1" t="s">
        <v>3165</v>
      </c>
      <c r="N112" t="s">
        <v>2907</v>
      </c>
      <c r="O112" t="s">
        <v>3149</v>
      </c>
    </row>
    <row r="113" spans="1:15" x14ac:dyDescent="0.3">
      <c r="A113" t="s">
        <v>2991</v>
      </c>
      <c r="B113">
        <v>8</v>
      </c>
      <c r="C113" s="1">
        <v>45104</v>
      </c>
      <c r="D113" t="s">
        <v>2992</v>
      </c>
      <c r="E113" t="s">
        <v>2993</v>
      </c>
      <c r="F113" t="s">
        <v>22</v>
      </c>
      <c r="G113" t="s">
        <v>284</v>
      </c>
      <c r="H113">
        <v>572</v>
      </c>
      <c r="I113">
        <v>1989</v>
      </c>
      <c r="J113" t="s">
        <v>24</v>
      </c>
      <c r="K113">
        <v>27421</v>
      </c>
      <c r="L113" s="1">
        <v>32644</v>
      </c>
      <c r="M113" s="1" t="s">
        <v>3166</v>
      </c>
      <c r="N113" t="s">
        <v>86</v>
      </c>
      <c r="O113" t="s">
        <v>3149</v>
      </c>
    </row>
    <row r="114" spans="1:15" x14ac:dyDescent="0.3">
      <c r="A114" t="s">
        <v>3007</v>
      </c>
      <c r="B114">
        <v>6</v>
      </c>
      <c r="C114" s="1">
        <v>44974</v>
      </c>
      <c r="D114" t="s">
        <v>3008</v>
      </c>
      <c r="E114" t="s">
        <v>3009</v>
      </c>
      <c r="F114" t="s">
        <v>15</v>
      </c>
      <c r="G114" t="s">
        <v>143</v>
      </c>
      <c r="H114">
        <v>128</v>
      </c>
      <c r="I114">
        <v>1987</v>
      </c>
      <c r="J114" t="s">
        <v>1028</v>
      </c>
      <c r="K114">
        <v>75563</v>
      </c>
      <c r="L114" s="1">
        <v>31914</v>
      </c>
      <c r="M114" s="1" t="s">
        <v>3180</v>
      </c>
      <c r="N114" t="s">
        <v>2519</v>
      </c>
      <c r="O114" t="s">
        <v>3149</v>
      </c>
    </row>
    <row r="115" spans="1:15" x14ac:dyDescent="0.3">
      <c r="A115" t="s">
        <v>3024</v>
      </c>
      <c r="B115">
        <v>6</v>
      </c>
      <c r="C115" s="1">
        <v>45238</v>
      </c>
      <c r="D115" t="s">
        <v>3025</v>
      </c>
      <c r="E115" t="s">
        <v>3026</v>
      </c>
      <c r="F115" t="s">
        <v>15</v>
      </c>
      <c r="G115" t="s">
        <v>73</v>
      </c>
      <c r="H115">
        <v>118</v>
      </c>
      <c r="I115">
        <v>1987</v>
      </c>
      <c r="J115" t="s">
        <v>3027</v>
      </c>
      <c r="K115">
        <v>76141</v>
      </c>
      <c r="L115" s="1">
        <v>31940</v>
      </c>
      <c r="M115" s="1" t="s">
        <v>3165</v>
      </c>
      <c r="N115" t="s">
        <v>3028</v>
      </c>
      <c r="O115" t="s">
        <v>3149</v>
      </c>
    </row>
    <row r="116" spans="1:15" x14ac:dyDescent="0.3">
      <c r="A116" t="s">
        <v>3034</v>
      </c>
      <c r="B116">
        <v>6</v>
      </c>
      <c r="C116" s="1">
        <v>44006</v>
      </c>
      <c r="D116" t="s">
        <v>3035</v>
      </c>
      <c r="E116" t="s">
        <v>3036</v>
      </c>
      <c r="F116" t="s">
        <v>15</v>
      </c>
      <c r="G116" t="s">
        <v>56</v>
      </c>
      <c r="H116">
        <v>92</v>
      </c>
      <c r="I116">
        <v>1988</v>
      </c>
      <c r="J116" t="s">
        <v>36</v>
      </c>
      <c r="K116">
        <v>331945</v>
      </c>
      <c r="L116" s="1">
        <v>32231</v>
      </c>
      <c r="M116" s="1" t="s">
        <v>3165</v>
      </c>
      <c r="N116" t="s">
        <v>3037</v>
      </c>
      <c r="O116" t="s">
        <v>3149</v>
      </c>
    </row>
    <row r="117" spans="1:15" x14ac:dyDescent="0.3">
      <c r="A117" t="s">
        <v>3050</v>
      </c>
      <c r="B117">
        <v>7</v>
      </c>
      <c r="C117" s="1">
        <v>44968</v>
      </c>
      <c r="D117" t="s">
        <v>3051</v>
      </c>
      <c r="E117" t="s">
        <v>3052</v>
      </c>
      <c r="F117" t="s">
        <v>15</v>
      </c>
      <c r="G117" t="s">
        <v>334</v>
      </c>
      <c r="H117">
        <v>87</v>
      </c>
      <c r="I117">
        <v>1988</v>
      </c>
      <c r="J117" t="s">
        <v>42</v>
      </c>
      <c r="K117">
        <v>25583</v>
      </c>
      <c r="L117" s="1">
        <v>32408</v>
      </c>
      <c r="M117" s="1" t="s">
        <v>3166</v>
      </c>
      <c r="N117" t="s">
        <v>86</v>
      </c>
      <c r="O117" t="s">
        <v>3149</v>
      </c>
    </row>
    <row r="118" spans="1:15" x14ac:dyDescent="0.3">
      <c r="A118" t="s">
        <v>3053</v>
      </c>
      <c r="B118">
        <v>7</v>
      </c>
      <c r="C118" s="1">
        <v>44986</v>
      </c>
      <c r="D118" t="s">
        <v>3054</v>
      </c>
      <c r="E118" t="s">
        <v>3055</v>
      </c>
      <c r="F118" t="s">
        <v>15</v>
      </c>
      <c r="G118" t="s">
        <v>29</v>
      </c>
      <c r="H118">
        <v>84</v>
      </c>
      <c r="I118">
        <v>1988</v>
      </c>
      <c r="J118" t="s">
        <v>325</v>
      </c>
      <c r="K118">
        <v>22006</v>
      </c>
      <c r="L118" s="1">
        <v>32213</v>
      </c>
      <c r="M118" s="1" t="s">
        <v>3166</v>
      </c>
      <c r="N118" t="s">
        <v>86</v>
      </c>
      <c r="O118" t="s">
        <v>3149</v>
      </c>
    </row>
    <row r="119" spans="1:15" x14ac:dyDescent="0.3">
      <c r="A119" t="s">
        <v>3060</v>
      </c>
      <c r="B119">
        <v>7</v>
      </c>
      <c r="C119" s="1">
        <v>45121</v>
      </c>
      <c r="D119" t="s">
        <v>3061</v>
      </c>
      <c r="E119" t="s">
        <v>3062</v>
      </c>
      <c r="F119" t="s">
        <v>15</v>
      </c>
      <c r="G119" t="s">
        <v>56</v>
      </c>
      <c r="H119">
        <v>88</v>
      </c>
      <c r="I119">
        <v>1988</v>
      </c>
      <c r="J119" t="s">
        <v>261</v>
      </c>
      <c r="K119">
        <v>45550</v>
      </c>
      <c r="L119" s="1">
        <v>32216</v>
      </c>
      <c r="M119" s="1" t="s">
        <v>3159</v>
      </c>
      <c r="N119" t="s">
        <v>457</v>
      </c>
      <c r="O119" t="s">
        <v>3149</v>
      </c>
    </row>
    <row r="120" spans="1:15" x14ac:dyDescent="0.3">
      <c r="A120" t="s">
        <v>3063</v>
      </c>
      <c r="B120">
        <v>6</v>
      </c>
      <c r="C120" s="1">
        <v>44257</v>
      </c>
      <c r="D120" t="s">
        <v>3064</v>
      </c>
      <c r="E120" t="s">
        <v>3065</v>
      </c>
      <c r="F120" t="s">
        <v>15</v>
      </c>
      <c r="G120" t="s">
        <v>41</v>
      </c>
      <c r="H120">
        <v>85</v>
      </c>
      <c r="I120">
        <v>1988</v>
      </c>
      <c r="J120" t="s">
        <v>503</v>
      </c>
      <c r="K120">
        <v>181336</v>
      </c>
      <c r="L120" s="1">
        <v>32479</v>
      </c>
      <c r="M120" s="1" t="s">
        <v>3165</v>
      </c>
      <c r="N120" t="s">
        <v>3066</v>
      </c>
      <c r="O120" t="s">
        <v>3149</v>
      </c>
    </row>
    <row r="121" spans="1:15" x14ac:dyDescent="0.3">
      <c r="A121" t="s">
        <v>3081</v>
      </c>
      <c r="B121">
        <v>6</v>
      </c>
      <c r="C121" s="1">
        <v>45186</v>
      </c>
      <c r="D121" t="s">
        <v>3082</v>
      </c>
      <c r="E121" t="s">
        <v>3083</v>
      </c>
      <c r="F121" t="s">
        <v>15</v>
      </c>
      <c r="G121" t="s">
        <v>84</v>
      </c>
      <c r="H121">
        <v>104</v>
      </c>
      <c r="I121">
        <v>1988</v>
      </c>
      <c r="J121" t="s">
        <v>3084</v>
      </c>
      <c r="K121">
        <v>213754</v>
      </c>
      <c r="L121" s="1">
        <v>32315</v>
      </c>
      <c r="M121" s="1" t="s">
        <v>3165</v>
      </c>
      <c r="N121" t="s">
        <v>2919</v>
      </c>
      <c r="O121" t="s">
        <v>3149</v>
      </c>
    </row>
    <row r="122" spans="1:15" x14ac:dyDescent="0.3">
      <c r="A122" t="s">
        <v>3085</v>
      </c>
      <c r="B122">
        <v>8</v>
      </c>
      <c r="C122" s="1">
        <v>44827</v>
      </c>
      <c r="D122" t="s">
        <v>3086</v>
      </c>
      <c r="E122" t="s">
        <v>3087</v>
      </c>
      <c r="F122" t="s">
        <v>15</v>
      </c>
      <c r="G122" t="s">
        <v>198</v>
      </c>
      <c r="H122">
        <v>102</v>
      </c>
      <c r="I122">
        <v>1989</v>
      </c>
      <c r="J122" t="s">
        <v>360</v>
      </c>
      <c r="K122">
        <v>1963</v>
      </c>
      <c r="L122" s="1">
        <v>32766</v>
      </c>
      <c r="M122" s="1" t="s">
        <v>3192</v>
      </c>
      <c r="N122" t="s">
        <v>2240</v>
      </c>
      <c r="O122" t="s">
        <v>3175</v>
      </c>
    </row>
    <row r="123" spans="1:15" x14ac:dyDescent="0.3">
      <c r="A123" t="s">
        <v>3088</v>
      </c>
      <c r="B123">
        <v>7</v>
      </c>
      <c r="C123" s="1">
        <v>44335</v>
      </c>
      <c r="D123" t="s">
        <v>3089</v>
      </c>
      <c r="E123" t="s">
        <v>3090</v>
      </c>
      <c r="F123" t="s">
        <v>15</v>
      </c>
      <c r="G123" t="s">
        <v>61</v>
      </c>
      <c r="H123">
        <v>108</v>
      </c>
      <c r="I123">
        <v>1989</v>
      </c>
      <c r="J123" t="s">
        <v>2902</v>
      </c>
      <c r="K123">
        <v>564115</v>
      </c>
      <c r="L123" s="1">
        <v>32832</v>
      </c>
      <c r="M123" s="1" t="s">
        <v>3165</v>
      </c>
      <c r="N123" t="s">
        <v>2919</v>
      </c>
      <c r="O123" t="s">
        <v>3149</v>
      </c>
    </row>
    <row r="124" spans="1:15" x14ac:dyDescent="0.3">
      <c r="A124" t="s">
        <v>3099</v>
      </c>
      <c r="B124">
        <v>6</v>
      </c>
      <c r="C124" s="1">
        <v>44639</v>
      </c>
      <c r="D124" t="s">
        <v>3100</v>
      </c>
      <c r="E124" t="s">
        <v>3101</v>
      </c>
      <c r="F124" t="s">
        <v>15</v>
      </c>
      <c r="G124" t="s">
        <v>334</v>
      </c>
      <c r="H124">
        <v>128</v>
      </c>
      <c r="I124">
        <v>1989</v>
      </c>
      <c r="J124" t="s">
        <v>261</v>
      </c>
      <c r="K124">
        <v>531981</v>
      </c>
      <c r="L124" s="1">
        <v>32661</v>
      </c>
      <c r="M124" s="1" t="s">
        <v>3165</v>
      </c>
      <c r="N124" t="s">
        <v>533</v>
      </c>
      <c r="O124" t="s">
        <v>3149</v>
      </c>
    </row>
    <row r="125" spans="1:15" x14ac:dyDescent="0.3">
      <c r="A125" t="s">
        <v>3113</v>
      </c>
      <c r="B125">
        <v>5</v>
      </c>
      <c r="C125" s="1">
        <v>44010</v>
      </c>
      <c r="D125" t="s">
        <v>3114</v>
      </c>
      <c r="E125" t="s">
        <v>3115</v>
      </c>
      <c r="F125" t="s">
        <v>15</v>
      </c>
      <c r="G125" t="s">
        <v>16</v>
      </c>
      <c r="H125">
        <v>100</v>
      </c>
      <c r="I125">
        <v>1989</v>
      </c>
      <c r="J125" t="s">
        <v>17</v>
      </c>
      <c r="K125">
        <v>94899</v>
      </c>
      <c r="L125" s="1">
        <v>32612</v>
      </c>
      <c r="M125" s="1" t="s">
        <v>3165</v>
      </c>
      <c r="N125" t="s">
        <v>3116</v>
      </c>
      <c r="O125" t="s">
        <v>3149</v>
      </c>
    </row>
    <row r="126" spans="1:15" x14ac:dyDescent="0.3">
      <c r="A126" t="s">
        <v>3120</v>
      </c>
      <c r="B126">
        <v>6</v>
      </c>
      <c r="C126" s="1">
        <v>45218</v>
      </c>
      <c r="D126" t="s">
        <v>3121</v>
      </c>
      <c r="E126" t="s">
        <v>3122</v>
      </c>
      <c r="F126" t="s">
        <v>15</v>
      </c>
      <c r="G126" t="s">
        <v>41</v>
      </c>
      <c r="H126">
        <v>108</v>
      </c>
      <c r="I126">
        <v>1989</v>
      </c>
      <c r="J126" t="s">
        <v>24</v>
      </c>
      <c r="K126">
        <v>16630</v>
      </c>
      <c r="L126" s="1">
        <v>32647</v>
      </c>
      <c r="M126" s="1" t="s">
        <v>3180</v>
      </c>
      <c r="N126" t="s">
        <v>1454</v>
      </c>
      <c r="O126" t="s">
        <v>3149</v>
      </c>
    </row>
    <row r="127" spans="1:15" x14ac:dyDescent="0.3">
      <c r="A127" t="s">
        <v>3123</v>
      </c>
      <c r="B127">
        <v>7</v>
      </c>
      <c r="C127" s="1">
        <v>45270</v>
      </c>
      <c r="D127" t="s">
        <v>3124</v>
      </c>
      <c r="E127" t="s">
        <v>3125</v>
      </c>
      <c r="F127" t="s">
        <v>15</v>
      </c>
      <c r="G127" t="s">
        <v>56</v>
      </c>
      <c r="H127">
        <v>69</v>
      </c>
      <c r="I127">
        <v>1990</v>
      </c>
      <c r="J127" t="s">
        <v>1822</v>
      </c>
      <c r="K127">
        <v>10941</v>
      </c>
      <c r="L127" s="1">
        <v>32885</v>
      </c>
      <c r="M127" s="1" t="s">
        <v>3161</v>
      </c>
      <c r="N127" t="s">
        <v>3126</v>
      </c>
      <c r="O127" t="s">
        <v>3149</v>
      </c>
    </row>
    <row r="128" spans="1:15" x14ac:dyDescent="0.3">
      <c r="A128" t="s">
        <v>3127</v>
      </c>
      <c r="B128">
        <v>4</v>
      </c>
      <c r="C128" s="1">
        <v>44649</v>
      </c>
      <c r="D128" t="s">
        <v>3128</v>
      </c>
      <c r="E128" t="s">
        <v>3129</v>
      </c>
      <c r="F128" t="s">
        <v>15</v>
      </c>
      <c r="G128" t="s">
        <v>105</v>
      </c>
      <c r="H128">
        <v>103</v>
      </c>
      <c r="I128">
        <v>1988</v>
      </c>
      <c r="J128" t="s">
        <v>3130</v>
      </c>
      <c r="K128">
        <v>20231</v>
      </c>
      <c r="L128" s="1">
        <v>32294</v>
      </c>
      <c r="M128" s="1" t="s">
        <v>3165</v>
      </c>
      <c r="N128" t="s">
        <v>3131</v>
      </c>
      <c r="O128" t="s">
        <v>3149</v>
      </c>
    </row>
    <row r="129" spans="1:15" x14ac:dyDescent="0.3">
      <c r="A129" t="s">
        <v>3132</v>
      </c>
      <c r="B129">
        <v>7</v>
      </c>
      <c r="C129" s="1">
        <v>43949</v>
      </c>
      <c r="D129" t="s">
        <v>3133</v>
      </c>
      <c r="E129" t="s">
        <v>3134</v>
      </c>
      <c r="F129" t="s">
        <v>15</v>
      </c>
      <c r="G129" t="s">
        <v>84</v>
      </c>
      <c r="H129">
        <v>95</v>
      </c>
      <c r="I129">
        <v>1989</v>
      </c>
      <c r="J129" t="s">
        <v>17</v>
      </c>
      <c r="K129">
        <v>237369</v>
      </c>
      <c r="L129" s="1">
        <v>32701</v>
      </c>
      <c r="M129" s="1" t="s">
        <v>3165</v>
      </c>
      <c r="N129" t="s">
        <v>2907</v>
      </c>
      <c r="O129" t="s">
        <v>3149</v>
      </c>
    </row>
    <row r="130" spans="1:15" x14ac:dyDescent="0.3">
      <c r="A130" t="s">
        <v>3141</v>
      </c>
      <c r="B130">
        <v>7</v>
      </c>
      <c r="C130" s="1">
        <v>44331</v>
      </c>
      <c r="D130" t="s">
        <v>3142</v>
      </c>
      <c r="E130" t="s">
        <v>3143</v>
      </c>
      <c r="F130" t="s">
        <v>15</v>
      </c>
      <c r="G130" t="s">
        <v>1409</v>
      </c>
      <c r="H130">
        <v>145</v>
      </c>
      <c r="I130">
        <v>1990</v>
      </c>
      <c r="J130" t="s">
        <v>672</v>
      </c>
      <c r="K130">
        <v>1233799</v>
      </c>
      <c r="L130" s="1">
        <v>33125</v>
      </c>
      <c r="M130" s="1" t="s">
        <v>3165</v>
      </c>
      <c r="N130" t="s">
        <v>371</v>
      </c>
      <c r="O130" t="s">
        <v>3149</v>
      </c>
    </row>
    <row r="131" spans="1:15" x14ac:dyDescent="0.3">
      <c r="A131" t="s">
        <v>12</v>
      </c>
      <c r="B131">
        <v>7</v>
      </c>
      <c r="C131" s="1">
        <v>45291</v>
      </c>
      <c r="D131" t="s">
        <v>13</v>
      </c>
      <c r="E131" t="s">
        <v>14</v>
      </c>
      <c r="F131" t="s">
        <v>15</v>
      </c>
      <c r="G131" t="s">
        <v>16</v>
      </c>
      <c r="H131">
        <v>98</v>
      </c>
      <c r="I131">
        <v>1990</v>
      </c>
      <c r="J131" t="s">
        <v>17</v>
      </c>
      <c r="K131">
        <v>12216</v>
      </c>
      <c r="L131" s="1">
        <v>32893</v>
      </c>
      <c r="M131" s="1" t="s">
        <v>3165</v>
      </c>
      <c r="N131" t="s">
        <v>18</v>
      </c>
      <c r="O131" t="s">
        <v>3149</v>
      </c>
    </row>
    <row r="132" spans="1:15" x14ac:dyDescent="0.3">
      <c r="A132" t="s">
        <v>32</v>
      </c>
      <c r="B132">
        <v>7</v>
      </c>
      <c r="C132" s="1">
        <v>44837</v>
      </c>
      <c r="D132" t="s">
        <v>33</v>
      </c>
      <c r="E132" t="s">
        <v>34</v>
      </c>
      <c r="F132" t="s">
        <v>15</v>
      </c>
      <c r="G132" t="s">
        <v>35</v>
      </c>
      <c r="H132">
        <v>99</v>
      </c>
      <c r="I132">
        <v>1991</v>
      </c>
      <c r="J132" t="s">
        <v>36</v>
      </c>
      <c r="K132">
        <v>177304</v>
      </c>
      <c r="L132" s="1">
        <v>33561</v>
      </c>
      <c r="M132" s="1" t="s">
        <v>3165</v>
      </c>
      <c r="N132" t="s">
        <v>37</v>
      </c>
      <c r="O132" t="s">
        <v>3149</v>
      </c>
    </row>
    <row r="133" spans="1:15" x14ac:dyDescent="0.3">
      <c r="A133" t="s">
        <v>38</v>
      </c>
      <c r="B133">
        <v>7</v>
      </c>
      <c r="C133" s="1">
        <v>45265</v>
      </c>
      <c r="D133" t="s">
        <v>39</v>
      </c>
      <c r="E133" t="s">
        <v>40</v>
      </c>
      <c r="F133" t="s">
        <v>15</v>
      </c>
      <c r="G133" t="s">
        <v>41</v>
      </c>
      <c r="H133">
        <v>125</v>
      </c>
      <c r="I133">
        <v>1991</v>
      </c>
      <c r="J133" t="s">
        <v>42</v>
      </c>
      <c r="K133">
        <v>15049</v>
      </c>
      <c r="L133" s="1">
        <v>33527</v>
      </c>
      <c r="M133" s="1" t="s">
        <v>3155</v>
      </c>
      <c r="N133" t="s">
        <v>43</v>
      </c>
      <c r="O133" t="s">
        <v>3149</v>
      </c>
    </row>
    <row r="134" spans="1:15" x14ac:dyDescent="0.3">
      <c r="A134" t="s">
        <v>53</v>
      </c>
      <c r="B134">
        <v>5</v>
      </c>
      <c r="C134" s="1">
        <v>45198</v>
      </c>
      <c r="D134" t="s">
        <v>54</v>
      </c>
      <c r="E134" t="s">
        <v>55</v>
      </c>
      <c r="F134" t="s">
        <v>15</v>
      </c>
      <c r="G134" t="s">
        <v>56</v>
      </c>
      <c r="H134">
        <v>238</v>
      </c>
      <c r="I134">
        <v>1991</v>
      </c>
      <c r="J134" t="s">
        <v>24</v>
      </c>
      <c r="K134">
        <v>9185</v>
      </c>
      <c r="L134" s="1">
        <v>33372</v>
      </c>
      <c r="M134" s="1" t="s">
        <v>3155</v>
      </c>
      <c r="N134" t="s">
        <v>57</v>
      </c>
      <c r="O134" t="s">
        <v>3149</v>
      </c>
    </row>
    <row r="135" spans="1:15" x14ac:dyDescent="0.3">
      <c r="A135" t="s">
        <v>76</v>
      </c>
      <c r="B135">
        <v>7</v>
      </c>
      <c r="C135" s="1">
        <v>44907</v>
      </c>
      <c r="D135" t="s">
        <v>77</v>
      </c>
      <c r="E135" t="s">
        <v>78</v>
      </c>
      <c r="F135" t="s">
        <v>15</v>
      </c>
      <c r="G135" t="s">
        <v>79</v>
      </c>
      <c r="H135">
        <v>140</v>
      </c>
      <c r="I135">
        <v>1991</v>
      </c>
      <c r="J135" t="s">
        <v>74</v>
      </c>
      <c r="K135">
        <v>97839</v>
      </c>
      <c r="L135" s="1">
        <v>33292</v>
      </c>
      <c r="M135" s="1" t="s">
        <v>3165</v>
      </c>
      <c r="N135" t="s">
        <v>80</v>
      </c>
      <c r="O135" t="s">
        <v>3149</v>
      </c>
    </row>
    <row r="136" spans="1:15" x14ac:dyDescent="0.3">
      <c r="A136" t="s">
        <v>81</v>
      </c>
      <c r="B136">
        <v>6</v>
      </c>
      <c r="C136" s="1">
        <v>44586</v>
      </c>
      <c r="D136" t="s">
        <v>82</v>
      </c>
      <c r="E136" t="s">
        <v>83</v>
      </c>
      <c r="F136" t="s">
        <v>15</v>
      </c>
      <c r="G136" t="s">
        <v>84</v>
      </c>
      <c r="H136">
        <v>98</v>
      </c>
      <c r="I136">
        <v>1991</v>
      </c>
      <c r="J136" t="s">
        <v>85</v>
      </c>
      <c r="K136">
        <v>52160</v>
      </c>
      <c r="L136" s="1">
        <v>33373</v>
      </c>
      <c r="M136" s="1" t="s">
        <v>3155</v>
      </c>
      <c r="N136" t="s">
        <v>86</v>
      </c>
      <c r="O136" t="s">
        <v>3149</v>
      </c>
    </row>
    <row r="137" spans="1:15" x14ac:dyDescent="0.3">
      <c r="A137" t="s">
        <v>119</v>
      </c>
      <c r="B137">
        <v>8</v>
      </c>
      <c r="C137" s="1">
        <v>44333</v>
      </c>
      <c r="D137" t="s">
        <v>120</v>
      </c>
      <c r="E137" t="s">
        <v>121</v>
      </c>
      <c r="F137" t="s">
        <v>15</v>
      </c>
      <c r="G137" t="s">
        <v>122</v>
      </c>
      <c r="H137">
        <v>118</v>
      </c>
      <c r="I137">
        <v>1991</v>
      </c>
      <c r="J137" t="s">
        <v>123</v>
      </c>
      <c r="K137">
        <v>1518333</v>
      </c>
      <c r="L137" s="1">
        <v>33268</v>
      </c>
      <c r="M137" s="1" t="s">
        <v>3165</v>
      </c>
      <c r="N137" t="s">
        <v>124</v>
      </c>
      <c r="O137" t="s">
        <v>3149</v>
      </c>
    </row>
    <row r="138" spans="1:15" x14ac:dyDescent="0.3">
      <c r="A138" t="s">
        <v>135</v>
      </c>
      <c r="B138">
        <v>8</v>
      </c>
      <c r="C138" s="1">
        <v>45125</v>
      </c>
      <c r="D138" t="s">
        <v>136</v>
      </c>
      <c r="E138" t="s">
        <v>137</v>
      </c>
      <c r="F138" t="s">
        <v>15</v>
      </c>
      <c r="G138" t="s">
        <v>41</v>
      </c>
      <c r="H138">
        <v>130</v>
      </c>
      <c r="I138">
        <v>1991</v>
      </c>
      <c r="J138" t="s">
        <v>138</v>
      </c>
      <c r="K138">
        <v>168435</v>
      </c>
      <c r="L138" s="1">
        <v>33378</v>
      </c>
      <c r="M138" s="1" t="s">
        <v>3165</v>
      </c>
      <c r="N138" t="s">
        <v>139</v>
      </c>
      <c r="O138" t="s">
        <v>3149</v>
      </c>
    </row>
    <row r="139" spans="1:15" x14ac:dyDescent="0.3">
      <c r="A139" t="s">
        <v>175</v>
      </c>
      <c r="B139">
        <v>8</v>
      </c>
      <c r="C139" s="1">
        <v>44551</v>
      </c>
      <c r="D139" t="s">
        <v>176</v>
      </c>
      <c r="E139" t="s">
        <v>177</v>
      </c>
      <c r="F139" t="s">
        <v>15</v>
      </c>
      <c r="G139" t="s">
        <v>95</v>
      </c>
      <c r="H139">
        <v>127</v>
      </c>
      <c r="I139">
        <v>1992</v>
      </c>
      <c r="J139" t="s">
        <v>178</v>
      </c>
      <c r="K139">
        <v>214968</v>
      </c>
      <c r="L139" s="1">
        <v>33681</v>
      </c>
      <c r="M139" s="1" t="s">
        <v>3165</v>
      </c>
      <c r="N139" t="s">
        <v>179</v>
      </c>
      <c r="O139" t="s">
        <v>3149</v>
      </c>
    </row>
    <row r="140" spans="1:15" x14ac:dyDescent="0.3">
      <c r="A140" t="s">
        <v>184</v>
      </c>
      <c r="B140">
        <v>7</v>
      </c>
      <c r="C140" s="1">
        <v>43847</v>
      </c>
      <c r="D140" t="s">
        <v>185</v>
      </c>
      <c r="E140" t="s">
        <v>186</v>
      </c>
      <c r="F140" t="s">
        <v>15</v>
      </c>
      <c r="G140" t="s">
        <v>187</v>
      </c>
      <c r="H140">
        <v>99</v>
      </c>
      <c r="I140">
        <v>1992</v>
      </c>
      <c r="J140" t="s">
        <v>188</v>
      </c>
      <c r="K140">
        <v>1071707</v>
      </c>
      <c r="L140" s="1">
        <v>33624</v>
      </c>
      <c r="M140" s="1" t="s">
        <v>3165</v>
      </c>
      <c r="N140" t="s">
        <v>189</v>
      </c>
      <c r="O140" t="s">
        <v>3149</v>
      </c>
    </row>
    <row r="141" spans="1:15" x14ac:dyDescent="0.3">
      <c r="A141" t="s">
        <v>206</v>
      </c>
      <c r="B141">
        <v>7</v>
      </c>
      <c r="C141" s="1">
        <v>44838</v>
      </c>
      <c r="D141" t="s">
        <v>207</v>
      </c>
      <c r="E141" t="s">
        <v>208</v>
      </c>
      <c r="F141" t="s">
        <v>15</v>
      </c>
      <c r="G141" t="s">
        <v>67</v>
      </c>
      <c r="H141">
        <v>94</v>
      </c>
      <c r="I141">
        <v>1993</v>
      </c>
      <c r="J141" t="s">
        <v>36</v>
      </c>
      <c r="K141">
        <v>107823</v>
      </c>
      <c r="L141" s="1">
        <v>34292</v>
      </c>
      <c r="M141" s="1" t="s">
        <v>3165</v>
      </c>
      <c r="N141" t="s">
        <v>37</v>
      </c>
      <c r="O141" t="s">
        <v>3149</v>
      </c>
    </row>
    <row r="142" spans="1:15" x14ac:dyDescent="0.3">
      <c r="A142" t="s">
        <v>250</v>
      </c>
      <c r="B142">
        <v>5</v>
      </c>
      <c r="C142" s="1">
        <v>44883</v>
      </c>
      <c r="D142" t="s">
        <v>251</v>
      </c>
      <c r="E142" t="s">
        <v>252</v>
      </c>
      <c r="F142" t="s">
        <v>15</v>
      </c>
      <c r="G142" t="s">
        <v>158</v>
      </c>
      <c r="H142">
        <v>101</v>
      </c>
      <c r="I142">
        <v>1993</v>
      </c>
      <c r="J142" t="s">
        <v>42</v>
      </c>
      <c r="K142">
        <v>10787</v>
      </c>
      <c r="L142" s="1">
        <v>34221</v>
      </c>
      <c r="M142" s="1" t="s">
        <v>3165</v>
      </c>
      <c r="N142" t="s">
        <v>253</v>
      </c>
      <c r="O142" t="s">
        <v>3149</v>
      </c>
    </row>
    <row r="143" spans="1:15" x14ac:dyDescent="0.3">
      <c r="A143" t="s">
        <v>258</v>
      </c>
      <c r="B143">
        <v>5</v>
      </c>
      <c r="C143" s="1">
        <v>45162</v>
      </c>
      <c r="D143" t="s">
        <v>259</v>
      </c>
      <c r="E143" t="s">
        <v>260</v>
      </c>
      <c r="F143" t="s">
        <v>15</v>
      </c>
      <c r="G143" t="s">
        <v>84</v>
      </c>
      <c r="H143">
        <v>131</v>
      </c>
      <c r="I143">
        <v>1993</v>
      </c>
      <c r="J143" t="s">
        <v>261</v>
      </c>
      <c r="K143">
        <v>43014</v>
      </c>
      <c r="L143" s="1">
        <v>34103</v>
      </c>
      <c r="M143" s="1" t="s">
        <v>3171</v>
      </c>
      <c r="N143" t="s">
        <v>262</v>
      </c>
      <c r="O143" t="s">
        <v>3149</v>
      </c>
    </row>
    <row r="144" spans="1:15" x14ac:dyDescent="0.3">
      <c r="A144" t="s">
        <v>263</v>
      </c>
      <c r="B144">
        <v>6</v>
      </c>
      <c r="C144" s="1">
        <v>44908</v>
      </c>
      <c r="D144" t="s">
        <v>264</v>
      </c>
      <c r="E144" t="s">
        <v>265</v>
      </c>
      <c r="F144" t="s">
        <v>15</v>
      </c>
      <c r="G144" t="s">
        <v>143</v>
      </c>
      <c r="H144">
        <v>76</v>
      </c>
      <c r="I144">
        <v>1993</v>
      </c>
      <c r="J144" t="s">
        <v>266</v>
      </c>
      <c r="K144">
        <v>370494</v>
      </c>
      <c r="L144" s="1">
        <v>34251</v>
      </c>
      <c r="M144" s="1" t="s">
        <v>3165</v>
      </c>
      <c r="N144" t="s">
        <v>267</v>
      </c>
      <c r="O144" t="s">
        <v>3149</v>
      </c>
    </row>
    <row r="145" spans="1:15" x14ac:dyDescent="0.3">
      <c r="A145" t="s">
        <v>268</v>
      </c>
      <c r="B145">
        <v>9</v>
      </c>
      <c r="C145" s="1">
        <v>44396</v>
      </c>
      <c r="D145" t="s">
        <v>269</v>
      </c>
      <c r="E145" t="s">
        <v>270</v>
      </c>
      <c r="F145" t="s">
        <v>15</v>
      </c>
      <c r="G145" t="s">
        <v>271</v>
      </c>
      <c r="H145">
        <v>195</v>
      </c>
      <c r="I145">
        <v>1993</v>
      </c>
      <c r="J145" t="s">
        <v>230</v>
      </c>
      <c r="K145">
        <v>1425674</v>
      </c>
      <c r="L145" s="1">
        <v>34303</v>
      </c>
      <c r="M145" s="1" t="s">
        <v>3165</v>
      </c>
      <c r="N145" t="s">
        <v>272</v>
      </c>
      <c r="O145" t="s">
        <v>3149</v>
      </c>
    </row>
    <row r="146" spans="1:15" x14ac:dyDescent="0.3">
      <c r="A146" t="s">
        <v>273</v>
      </c>
      <c r="B146">
        <v>7</v>
      </c>
      <c r="C146" s="1">
        <v>44951</v>
      </c>
      <c r="D146" t="s">
        <v>274</v>
      </c>
      <c r="E146" t="s">
        <v>275</v>
      </c>
      <c r="F146" t="s">
        <v>15</v>
      </c>
      <c r="G146" t="s">
        <v>143</v>
      </c>
      <c r="H146">
        <v>94</v>
      </c>
      <c r="I146">
        <v>1993</v>
      </c>
      <c r="J146" t="s">
        <v>276</v>
      </c>
      <c r="K146">
        <v>108895</v>
      </c>
      <c r="L146" s="1">
        <v>34215</v>
      </c>
      <c r="M146" s="1" t="s">
        <v>3155</v>
      </c>
      <c r="N146" t="s">
        <v>86</v>
      </c>
      <c r="O146" t="s">
        <v>3149</v>
      </c>
    </row>
    <row r="147" spans="1:15" x14ac:dyDescent="0.3">
      <c r="A147" t="s">
        <v>277</v>
      </c>
      <c r="B147">
        <v>7</v>
      </c>
      <c r="C147" s="1">
        <v>45221</v>
      </c>
      <c r="D147" t="s">
        <v>278</v>
      </c>
      <c r="E147" t="s">
        <v>279</v>
      </c>
      <c r="F147" t="s">
        <v>15</v>
      </c>
      <c r="G147" t="s">
        <v>143</v>
      </c>
      <c r="H147">
        <v>119</v>
      </c>
      <c r="I147">
        <v>1993</v>
      </c>
      <c r="J147" t="s">
        <v>280</v>
      </c>
      <c r="K147">
        <v>239122</v>
      </c>
      <c r="L147" s="1">
        <v>34220</v>
      </c>
      <c r="M147" s="1" t="s">
        <v>3165</v>
      </c>
      <c r="N147" t="s">
        <v>281</v>
      </c>
      <c r="O147" t="s">
        <v>3149</v>
      </c>
    </row>
    <row r="148" spans="1:15" x14ac:dyDescent="0.3">
      <c r="A148" t="s">
        <v>289</v>
      </c>
      <c r="B148">
        <v>7</v>
      </c>
      <c r="C148" s="1">
        <v>44791</v>
      </c>
      <c r="D148" t="s">
        <v>290</v>
      </c>
      <c r="E148" t="s">
        <v>291</v>
      </c>
      <c r="F148" t="s">
        <v>15</v>
      </c>
      <c r="G148" t="s">
        <v>29</v>
      </c>
      <c r="H148">
        <v>102</v>
      </c>
      <c r="I148">
        <v>1994</v>
      </c>
      <c r="J148" t="s">
        <v>292</v>
      </c>
      <c r="K148">
        <v>92907</v>
      </c>
      <c r="L148" s="1">
        <v>34529</v>
      </c>
      <c r="M148" s="1" t="s">
        <v>3207</v>
      </c>
      <c r="N148" t="s">
        <v>293</v>
      </c>
      <c r="O148" t="s">
        <v>3149</v>
      </c>
    </row>
    <row r="149" spans="1:15" x14ac:dyDescent="0.3">
      <c r="A149" t="s">
        <v>308</v>
      </c>
      <c r="B149">
        <v>7</v>
      </c>
      <c r="C149" s="1">
        <v>44331</v>
      </c>
      <c r="D149" t="s">
        <v>309</v>
      </c>
      <c r="E149" t="s">
        <v>310</v>
      </c>
      <c r="F149" t="s">
        <v>15</v>
      </c>
      <c r="G149" t="s">
        <v>23</v>
      </c>
      <c r="H149">
        <v>110</v>
      </c>
      <c r="I149">
        <v>1994</v>
      </c>
      <c r="J149" t="s">
        <v>311</v>
      </c>
      <c r="K149">
        <v>1224680</v>
      </c>
      <c r="L149" s="1">
        <v>34591</v>
      </c>
      <c r="M149" s="1" t="s">
        <v>3155</v>
      </c>
      <c r="N149" t="s">
        <v>312</v>
      </c>
      <c r="O149" t="s">
        <v>3149</v>
      </c>
    </row>
    <row r="150" spans="1:15" x14ac:dyDescent="0.3">
      <c r="A150" t="s">
        <v>313</v>
      </c>
      <c r="B150">
        <v>7</v>
      </c>
      <c r="C150" s="1">
        <v>43589</v>
      </c>
      <c r="D150" t="s">
        <v>314</v>
      </c>
      <c r="E150" t="s">
        <v>315</v>
      </c>
      <c r="F150" t="s">
        <v>15</v>
      </c>
      <c r="G150" t="s">
        <v>35</v>
      </c>
      <c r="H150">
        <v>101</v>
      </c>
      <c r="I150">
        <v>1994</v>
      </c>
      <c r="J150" t="s">
        <v>316</v>
      </c>
      <c r="K150">
        <v>412423</v>
      </c>
      <c r="L150" s="1">
        <v>34543</v>
      </c>
      <c r="M150" s="1" t="s">
        <v>3165</v>
      </c>
      <c r="N150" t="s">
        <v>317</v>
      </c>
      <c r="O150" t="s">
        <v>3149</v>
      </c>
    </row>
    <row r="151" spans="1:15" x14ac:dyDescent="0.3">
      <c r="A151" t="s">
        <v>322</v>
      </c>
      <c r="B151">
        <v>8</v>
      </c>
      <c r="C151" s="1">
        <v>43829</v>
      </c>
      <c r="D151" t="s">
        <v>323</v>
      </c>
      <c r="E151" t="s">
        <v>324</v>
      </c>
      <c r="F151" t="s">
        <v>15</v>
      </c>
      <c r="G151" t="s">
        <v>284</v>
      </c>
      <c r="H151">
        <v>154</v>
      </c>
      <c r="I151">
        <v>1994</v>
      </c>
      <c r="J151" t="s">
        <v>325</v>
      </c>
      <c r="K151">
        <v>2176704</v>
      </c>
      <c r="L151" s="1">
        <v>34475</v>
      </c>
      <c r="M151" s="1" t="s">
        <v>3165</v>
      </c>
      <c r="N151" t="s">
        <v>189</v>
      </c>
      <c r="O151" t="s">
        <v>3149</v>
      </c>
    </row>
    <row r="152" spans="1:15" x14ac:dyDescent="0.3">
      <c r="A152" t="s">
        <v>326</v>
      </c>
      <c r="B152">
        <v>9</v>
      </c>
      <c r="C152" s="1">
        <v>44313</v>
      </c>
      <c r="D152" t="s">
        <v>327</v>
      </c>
      <c r="E152" t="s">
        <v>328</v>
      </c>
      <c r="F152" t="s">
        <v>15</v>
      </c>
      <c r="G152" t="s">
        <v>329</v>
      </c>
      <c r="H152">
        <v>142</v>
      </c>
      <c r="I152">
        <v>1994</v>
      </c>
      <c r="J152" t="s">
        <v>24</v>
      </c>
      <c r="K152">
        <v>2837231</v>
      </c>
      <c r="L152" s="1">
        <v>34587</v>
      </c>
      <c r="M152" s="1" t="s">
        <v>3165</v>
      </c>
      <c r="N152" t="s">
        <v>330</v>
      </c>
      <c r="O152" t="s">
        <v>3149</v>
      </c>
    </row>
    <row r="153" spans="1:15" x14ac:dyDescent="0.3">
      <c r="A153" t="s">
        <v>331</v>
      </c>
      <c r="B153">
        <v>6</v>
      </c>
      <c r="C153" s="1">
        <v>44956</v>
      </c>
      <c r="D153" t="s">
        <v>332</v>
      </c>
      <c r="E153" t="s">
        <v>333</v>
      </c>
      <c r="F153" t="s">
        <v>15</v>
      </c>
      <c r="G153" t="s">
        <v>334</v>
      </c>
      <c r="H153">
        <v>99</v>
      </c>
      <c r="I153">
        <v>1994</v>
      </c>
      <c r="J153" t="s">
        <v>335</v>
      </c>
      <c r="K153">
        <v>108635</v>
      </c>
      <c r="L153" s="1">
        <v>34470</v>
      </c>
      <c r="M153" s="1" t="s">
        <v>3155</v>
      </c>
      <c r="N153" t="s">
        <v>86</v>
      </c>
      <c r="O153" t="s">
        <v>3149</v>
      </c>
    </row>
    <row r="154" spans="1:15" x14ac:dyDescent="0.3">
      <c r="A154" t="s">
        <v>336</v>
      </c>
      <c r="B154">
        <v>7</v>
      </c>
      <c r="C154" s="1">
        <v>44956</v>
      </c>
      <c r="D154" t="s">
        <v>337</v>
      </c>
      <c r="E154" t="s">
        <v>338</v>
      </c>
      <c r="F154" t="s">
        <v>15</v>
      </c>
      <c r="G154" t="s">
        <v>41</v>
      </c>
      <c r="H154">
        <v>92</v>
      </c>
      <c r="I154">
        <v>1994</v>
      </c>
      <c r="J154" t="s">
        <v>17</v>
      </c>
      <c r="K154">
        <v>78428</v>
      </c>
      <c r="L154" s="1">
        <v>34360</v>
      </c>
      <c r="M154" s="1" t="s">
        <v>3155</v>
      </c>
      <c r="N154" t="s">
        <v>86</v>
      </c>
      <c r="O154" t="s">
        <v>3149</v>
      </c>
    </row>
    <row r="155" spans="1:15" x14ac:dyDescent="0.3">
      <c r="A155" t="s">
        <v>339</v>
      </c>
      <c r="B155">
        <v>8</v>
      </c>
      <c r="C155" s="1">
        <v>45024</v>
      </c>
      <c r="D155" t="s">
        <v>340</v>
      </c>
      <c r="E155" t="s">
        <v>341</v>
      </c>
      <c r="F155" t="s">
        <v>15</v>
      </c>
      <c r="G155" t="s">
        <v>334</v>
      </c>
      <c r="H155">
        <v>101</v>
      </c>
      <c r="I155">
        <v>1995</v>
      </c>
      <c r="J155" t="s">
        <v>42</v>
      </c>
      <c r="K155">
        <v>332755</v>
      </c>
      <c r="L155" s="1">
        <v>34718</v>
      </c>
      <c r="M155" s="1" t="s">
        <v>3165</v>
      </c>
      <c r="N155" t="s">
        <v>342</v>
      </c>
      <c r="O155" t="s">
        <v>3149</v>
      </c>
    </row>
    <row r="156" spans="1:15" x14ac:dyDescent="0.3">
      <c r="A156" t="s">
        <v>349</v>
      </c>
      <c r="B156">
        <v>8</v>
      </c>
      <c r="C156" s="1">
        <v>45123</v>
      </c>
      <c r="D156" t="s">
        <v>350</v>
      </c>
      <c r="E156" t="s">
        <v>351</v>
      </c>
      <c r="F156" t="s">
        <v>15</v>
      </c>
      <c r="G156" t="s">
        <v>35</v>
      </c>
      <c r="H156">
        <v>97</v>
      </c>
      <c r="I156">
        <v>1995</v>
      </c>
      <c r="J156" t="s">
        <v>225</v>
      </c>
      <c r="K156">
        <v>239658</v>
      </c>
      <c r="L156" s="1">
        <v>34887</v>
      </c>
      <c r="M156" s="1" t="s">
        <v>3165</v>
      </c>
      <c r="N156" t="s">
        <v>352</v>
      </c>
      <c r="O156" t="s">
        <v>3175</v>
      </c>
    </row>
    <row r="157" spans="1:15" x14ac:dyDescent="0.3">
      <c r="A157" t="s">
        <v>362</v>
      </c>
      <c r="B157">
        <v>8</v>
      </c>
      <c r="C157" s="1">
        <v>44724</v>
      </c>
      <c r="D157" t="s">
        <v>363</v>
      </c>
      <c r="E157" t="s">
        <v>364</v>
      </c>
      <c r="F157" t="s">
        <v>15</v>
      </c>
      <c r="G157" t="s">
        <v>41</v>
      </c>
      <c r="H157">
        <v>99</v>
      </c>
      <c r="I157">
        <v>1995</v>
      </c>
      <c r="J157" t="s">
        <v>365</v>
      </c>
      <c r="K157">
        <v>48558</v>
      </c>
      <c r="L157" s="1">
        <v>34948</v>
      </c>
      <c r="M157" s="1" t="s">
        <v>3207</v>
      </c>
      <c r="N157" t="s">
        <v>293</v>
      </c>
      <c r="O157" t="s">
        <v>3149</v>
      </c>
    </row>
    <row r="158" spans="1:15" x14ac:dyDescent="0.3">
      <c r="A158" t="s">
        <v>382</v>
      </c>
      <c r="B158">
        <v>6</v>
      </c>
      <c r="C158" s="1">
        <v>44567</v>
      </c>
      <c r="D158" t="s">
        <v>383</v>
      </c>
      <c r="E158" t="s">
        <v>384</v>
      </c>
      <c r="F158" t="s">
        <v>15</v>
      </c>
      <c r="G158" t="s">
        <v>334</v>
      </c>
      <c r="H158">
        <v>98</v>
      </c>
      <c r="I158">
        <v>1995</v>
      </c>
      <c r="J158" t="s">
        <v>325</v>
      </c>
      <c r="K158">
        <v>191256</v>
      </c>
      <c r="L158" s="1">
        <v>34846</v>
      </c>
      <c r="M158" s="1" t="s">
        <v>3155</v>
      </c>
      <c r="N158" t="s">
        <v>385</v>
      </c>
      <c r="O158" t="s">
        <v>3149</v>
      </c>
    </row>
    <row r="159" spans="1:15" x14ac:dyDescent="0.3">
      <c r="A159" t="s">
        <v>406</v>
      </c>
      <c r="B159">
        <v>7</v>
      </c>
      <c r="C159" s="1">
        <v>44820</v>
      </c>
      <c r="D159" t="s">
        <v>407</v>
      </c>
      <c r="E159" t="s">
        <v>408</v>
      </c>
      <c r="F159" t="s">
        <v>15</v>
      </c>
      <c r="G159" t="s">
        <v>122</v>
      </c>
      <c r="H159">
        <v>127</v>
      </c>
      <c r="I159">
        <v>1995</v>
      </c>
      <c r="J159" t="s">
        <v>409</v>
      </c>
      <c r="K159">
        <v>1761940</v>
      </c>
      <c r="L159" s="1">
        <v>34957</v>
      </c>
      <c r="M159" s="1" t="s">
        <v>3165</v>
      </c>
      <c r="N159" t="s">
        <v>205</v>
      </c>
      <c r="O159" t="s">
        <v>3149</v>
      </c>
    </row>
    <row r="160" spans="1:15" x14ac:dyDescent="0.3">
      <c r="A160" t="s">
        <v>414</v>
      </c>
      <c r="B160">
        <v>7</v>
      </c>
      <c r="C160" s="1">
        <v>45134</v>
      </c>
      <c r="D160" t="s">
        <v>415</v>
      </c>
      <c r="E160" t="s">
        <v>416</v>
      </c>
      <c r="F160" t="s">
        <v>15</v>
      </c>
      <c r="G160" t="s">
        <v>417</v>
      </c>
      <c r="H160">
        <v>128</v>
      </c>
      <c r="I160">
        <v>1995</v>
      </c>
      <c r="J160" t="s">
        <v>24</v>
      </c>
      <c r="K160">
        <v>73129</v>
      </c>
      <c r="L160" s="1">
        <v>34963</v>
      </c>
      <c r="M160" s="1" t="s">
        <v>3165</v>
      </c>
      <c r="N160" t="s">
        <v>179</v>
      </c>
      <c r="O160" t="s">
        <v>3149</v>
      </c>
    </row>
    <row r="161" spans="1:15" x14ac:dyDescent="0.3">
      <c r="A161" t="s">
        <v>423</v>
      </c>
      <c r="B161">
        <v>7</v>
      </c>
      <c r="C161" s="1">
        <v>45267</v>
      </c>
      <c r="D161" t="s">
        <v>424</v>
      </c>
      <c r="E161" t="s">
        <v>425</v>
      </c>
      <c r="F161" t="s">
        <v>15</v>
      </c>
      <c r="G161" t="s">
        <v>334</v>
      </c>
      <c r="H161">
        <v>170</v>
      </c>
      <c r="I161">
        <v>1995</v>
      </c>
      <c r="J161" t="s">
        <v>426</v>
      </c>
      <c r="K161">
        <v>60627</v>
      </c>
      <c r="L161" s="1">
        <v>34790</v>
      </c>
      <c r="M161" s="1" t="s">
        <v>3182</v>
      </c>
      <c r="N161" t="s">
        <v>427</v>
      </c>
      <c r="O161" t="s">
        <v>3149</v>
      </c>
    </row>
    <row r="162" spans="1:15" x14ac:dyDescent="0.3">
      <c r="A162" t="s">
        <v>433</v>
      </c>
      <c r="B162">
        <v>6</v>
      </c>
      <c r="C162" s="1">
        <v>44628</v>
      </c>
      <c r="D162" t="s">
        <v>434</v>
      </c>
      <c r="E162" t="s">
        <v>435</v>
      </c>
      <c r="F162" t="s">
        <v>15</v>
      </c>
      <c r="G162" t="s">
        <v>41</v>
      </c>
      <c r="H162">
        <v>113</v>
      </c>
      <c r="I162">
        <v>1996</v>
      </c>
      <c r="J162" t="s">
        <v>17</v>
      </c>
      <c r="K162">
        <v>9709</v>
      </c>
      <c r="L162" s="1">
        <v>35216</v>
      </c>
      <c r="M162" s="1" t="s">
        <v>3155</v>
      </c>
      <c r="N162" t="s">
        <v>436</v>
      </c>
      <c r="O162" t="s">
        <v>3149</v>
      </c>
    </row>
    <row r="163" spans="1:15" x14ac:dyDescent="0.3">
      <c r="A163" t="s">
        <v>437</v>
      </c>
      <c r="B163">
        <v>8</v>
      </c>
      <c r="C163" s="1">
        <v>44872</v>
      </c>
      <c r="D163" t="s">
        <v>438</v>
      </c>
      <c r="E163" t="s">
        <v>439</v>
      </c>
      <c r="F163" t="s">
        <v>15</v>
      </c>
      <c r="G163" t="s">
        <v>346</v>
      </c>
      <c r="H163">
        <v>100</v>
      </c>
      <c r="I163">
        <v>1996</v>
      </c>
      <c r="J163" t="s">
        <v>24</v>
      </c>
      <c r="K163">
        <v>65283</v>
      </c>
      <c r="L163" s="1">
        <v>35202</v>
      </c>
      <c r="M163" s="1" t="s">
        <v>3169</v>
      </c>
      <c r="N163" t="s">
        <v>253</v>
      </c>
      <c r="O163" t="s">
        <v>3149</v>
      </c>
    </row>
    <row r="164" spans="1:15" x14ac:dyDescent="0.3">
      <c r="A164" t="s">
        <v>445</v>
      </c>
      <c r="B164">
        <v>7</v>
      </c>
      <c r="C164" s="1">
        <v>44543</v>
      </c>
      <c r="D164" t="s">
        <v>446</v>
      </c>
      <c r="E164" t="s">
        <v>447</v>
      </c>
      <c r="F164" t="s">
        <v>15</v>
      </c>
      <c r="G164" t="s">
        <v>334</v>
      </c>
      <c r="H164">
        <v>98</v>
      </c>
      <c r="I164">
        <v>1996</v>
      </c>
      <c r="J164" t="s">
        <v>188</v>
      </c>
      <c r="K164">
        <v>713060</v>
      </c>
      <c r="L164" s="1">
        <v>35132</v>
      </c>
      <c r="M164" s="1" t="s">
        <v>3165</v>
      </c>
      <c r="N164" t="s">
        <v>448</v>
      </c>
      <c r="O164" t="s">
        <v>3149</v>
      </c>
    </row>
    <row r="165" spans="1:15" x14ac:dyDescent="0.3">
      <c r="A165" t="s">
        <v>449</v>
      </c>
      <c r="B165">
        <v>5</v>
      </c>
      <c r="C165" s="1">
        <v>45115</v>
      </c>
      <c r="D165" t="s">
        <v>450</v>
      </c>
      <c r="E165" t="s">
        <v>451</v>
      </c>
      <c r="F165" t="s">
        <v>15</v>
      </c>
      <c r="G165" t="s">
        <v>41</v>
      </c>
      <c r="H165">
        <v>134</v>
      </c>
      <c r="I165">
        <v>1997</v>
      </c>
      <c r="J165" t="s">
        <v>370</v>
      </c>
      <c r="K165">
        <v>150996</v>
      </c>
      <c r="L165" s="1">
        <v>35445</v>
      </c>
      <c r="M165" s="1" t="s">
        <v>3165</v>
      </c>
      <c r="N165" t="s">
        <v>452</v>
      </c>
      <c r="O165" t="s">
        <v>3149</v>
      </c>
    </row>
    <row r="166" spans="1:15" x14ac:dyDescent="0.3">
      <c r="A166" t="s">
        <v>480</v>
      </c>
      <c r="B166">
        <v>8</v>
      </c>
      <c r="C166" s="1">
        <v>44200</v>
      </c>
      <c r="D166" t="s">
        <v>481</v>
      </c>
      <c r="E166" t="s">
        <v>482</v>
      </c>
      <c r="F166" t="s">
        <v>15</v>
      </c>
      <c r="G166" t="s">
        <v>334</v>
      </c>
      <c r="H166">
        <v>93</v>
      </c>
      <c r="I166">
        <v>1996</v>
      </c>
      <c r="J166" t="s">
        <v>24</v>
      </c>
      <c r="K166">
        <v>716413</v>
      </c>
      <c r="L166" s="1">
        <v>35118</v>
      </c>
      <c r="M166" s="1" t="s">
        <v>3171</v>
      </c>
      <c r="N166" t="s">
        <v>483</v>
      </c>
      <c r="O166" t="s">
        <v>3149</v>
      </c>
    </row>
    <row r="167" spans="1:15" x14ac:dyDescent="0.3">
      <c r="A167" t="s">
        <v>489</v>
      </c>
      <c r="B167">
        <v>6</v>
      </c>
      <c r="C167" s="1">
        <v>45177</v>
      </c>
      <c r="D167" t="s">
        <v>490</v>
      </c>
      <c r="E167" t="s">
        <v>491</v>
      </c>
      <c r="F167" t="s">
        <v>15</v>
      </c>
      <c r="G167" t="s">
        <v>198</v>
      </c>
      <c r="H167">
        <v>90</v>
      </c>
      <c r="I167">
        <v>1996</v>
      </c>
      <c r="J167" t="s">
        <v>17</v>
      </c>
      <c r="K167">
        <v>3329</v>
      </c>
      <c r="L167" s="1">
        <v>35124</v>
      </c>
      <c r="M167" s="1" t="s">
        <v>3165</v>
      </c>
      <c r="N167" t="s">
        <v>492</v>
      </c>
      <c r="O167" t="s">
        <v>3175</v>
      </c>
    </row>
    <row r="168" spans="1:15" x14ac:dyDescent="0.3">
      <c r="A168" t="s">
        <v>497</v>
      </c>
      <c r="B168">
        <v>6</v>
      </c>
      <c r="C168" s="1">
        <v>44401</v>
      </c>
      <c r="D168" t="s">
        <v>498</v>
      </c>
      <c r="E168" t="s">
        <v>499</v>
      </c>
      <c r="F168" t="s">
        <v>15</v>
      </c>
      <c r="G168" t="s">
        <v>334</v>
      </c>
      <c r="H168">
        <v>98</v>
      </c>
      <c r="I168">
        <v>2000</v>
      </c>
      <c r="J168" t="s">
        <v>42</v>
      </c>
      <c r="K168">
        <v>163150</v>
      </c>
      <c r="L168" s="1">
        <v>36666</v>
      </c>
      <c r="M168" s="1" t="s">
        <v>3207</v>
      </c>
      <c r="N168" t="s">
        <v>293</v>
      </c>
      <c r="O168" t="s">
        <v>3149</v>
      </c>
    </row>
    <row r="169" spans="1:15" x14ac:dyDescent="0.3">
      <c r="A169" t="s">
        <v>500</v>
      </c>
      <c r="B169">
        <v>7</v>
      </c>
      <c r="C169" s="1">
        <v>44204</v>
      </c>
      <c r="D169" t="s">
        <v>501</v>
      </c>
      <c r="E169" t="s">
        <v>502</v>
      </c>
      <c r="F169" t="s">
        <v>15</v>
      </c>
      <c r="G169" t="s">
        <v>334</v>
      </c>
      <c r="H169">
        <v>117</v>
      </c>
      <c r="I169">
        <v>1998</v>
      </c>
      <c r="J169" t="s">
        <v>503</v>
      </c>
      <c r="K169">
        <v>848805</v>
      </c>
      <c r="L169" s="1">
        <v>35813</v>
      </c>
      <c r="M169" s="1" t="s">
        <v>3165</v>
      </c>
      <c r="N169" t="s">
        <v>448</v>
      </c>
      <c r="O169" t="s">
        <v>3149</v>
      </c>
    </row>
    <row r="170" spans="1:15" x14ac:dyDescent="0.3">
      <c r="A170" t="s">
        <v>504</v>
      </c>
      <c r="B170">
        <v>5</v>
      </c>
      <c r="C170" s="1">
        <v>45028</v>
      </c>
      <c r="D170" t="s">
        <v>505</v>
      </c>
      <c r="E170" t="s">
        <v>506</v>
      </c>
      <c r="F170" t="s">
        <v>15</v>
      </c>
      <c r="G170" t="s">
        <v>143</v>
      </c>
      <c r="H170">
        <v>155</v>
      </c>
      <c r="I170">
        <v>1997</v>
      </c>
      <c r="J170" t="s">
        <v>24</v>
      </c>
      <c r="K170">
        <v>278794</v>
      </c>
      <c r="L170" s="1">
        <v>35684</v>
      </c>
      <c r="M170" s="1" t="s">
        <v>3165</v>
      </c>
      <c r="N170" t="s">
        <v>356</v>
      </c>
      <c r="O170" t="s">
        <v>3149</v>
      </c>
    </row>
    <row r="171" spans="1:15" x14ac:dyDescent="0.3">
      <c r="A171" t="s">
        <v>507</v>
      </c>
      <c r="B171">
        <v>3</v>
      </c>
      <c r="C171" s="1">
        <v>44847</v>
      </c>
      <c r="D171" t="s">
        <v>508</v>
      </c>
      <c r="E171" t="s">
        <v>509</v>
      </c>
      <c r="F171" t="s">
        <v>15</v>
      </c>
      <c r="G171" t="s">
        <v>148</v>
      </c>
      <c r="H171">
        <v>110</v>
      </c>
      <c r="I171">
        <v>1998</v>
      </c>
      <c r="J171" t="s">
        <v>17</v>
      </c>
      <c r="K171">
        <v>58755</v>
      </c>
      <c r="L171" s="1">
        <v>35816</v>
      </c>
      <c r="M171" s="1" t="s">
        <v>3165</v>
      </c>
      <c r="N171" t="s">
        <v>510</v>
      </c>
      <c r="O171" t="s">
        <v>3149</v>
      </c>
    </row>
    <row r="172" spans="1:15" x14ac:dyDescent="0.3">
      <c r="A172" t="s">
        <v>511</v>
      </c>
      <c r="B172">
        <v>5</v>
      </c>
      <c r="C172" s="1">
        <v>45099</v>
      </c>
      <c r="D172" t="s">
        <v>512</v>
      </c>
      <c r="E172" t="s">
        <v>513</v>
      </c>
      <c r="F172" t="s">
        <v>15</v>
      </c>
      <c r="G172" t="s">
        <v>84</v>
      </c>
      <c r="H172">
        <v>96</v>
      </c>
      <c r="I172">
        <v>1997</v>
      </c>
      <c r="J172" t="s">
        <v>42</v>
      </c>
      <c r="K172">
        <v>33152</v>
      </c>
      <c r="L172" s="1">
        <v>35567</v>
      </c>
      <c r="M172" s="1" t="s">
        <v>3207</v>
      </c>
      <c r="N172" t="s">
        <v>293</v>
      </c>
      <c r="O172" t="s">
        <v>3149</v>
      </c>
    </row>
    <row r="173" spans="1:15" x14ac:dyDescent="0.3">
      <c r="A173" t="s">
        <v>518</v>
      </c>
      <c r="B173">
        <v>6</v>
      </c>
      <c r="C173" s="1">
        <v>44240</v>
      </c>
      <c r="D173" t="s">
        <v>519</v>
      </c>
      <c r="E173" t="s">
        <v>520</v>
      </c>
      <c r="F173" t="s">
        <v>15</v>
      </c>
      <c r="G173" t="s">
        <v>84</v>
      </c>
      <c r="H173">
        <v>129</v>
      </c>
      <c r="I173">
        <v>1997</v>
      </c>
      <c r="J173" t="s">
        <v>178</v>
      </c>
      <c r="K173">
        <v>422191</v>
      </c>
      <c r="L173" s="1">
        <v>35676</v>
      </c>
      <c r="M173" s="1" t="s">
        <v>3165</v>
      </c>
      <c r="N173" t="s">
        <v>205</v>
      </c>
      <c r="O173" t="s">
        <v>3149</v>
      </c>
    </row>
    <row r="174" spans="1:15" x14ac:dyDescent="0.3">
      <c r="A174" t="s">
        <v>526</v>
      </c>
      <c r="B174">
        <v>4</v>
      </c>
      <c r="C174" s="1">
        <v>44996</v>
      </c>
      <c r="D174" t="s">
        <v>527</v>
      </c>
      <c r="E174" t="s">
        <v>528</v>
      </c>
      <c r="F174" t="s">
        <v>15</v>
      </c>
      <c r="G174" t="s">
        <v>84</v>
      </c>
      <c r="H174">
        <v>95</v>
      </c>
      <c r="I174">
        <v>1997</v>
      </c>
      <c r="J174" t="s">
        <v>24</v>
      </c>
      <c r="K174">
        <v>35405</v>
      </c>
      <c r="L174" s="1">
        <v>35566</v>
      </c>
      <c r="M174" s="1" t="s">
        <v>3193</v>
      </c>
      <c r="N174" t="s">
        <v>529</v>
      </c>
      <c r="O174" t="s">
        <v>3149</v>
      </c>
    </row>
    <row r="175" spans="1:15" x14ac:dyDescent="0.3">
      <c r="A175" t="s">
        <v>530</v>
      </c>
      <c r="B175">
        <v>7</v>
      </c>
      <c r="C175" s="1">
        <v>44241</v>
      </c>
      <c r="D175" t="s">
        <v>531</v>
      </c>
      <c r="E175" t="s">
        <v>532</v>
      </c>
      <c r="F175" t="s">
        <v>15</v>
      </c>
      <c r="G175" t="s">
        <v>369</v>
      </c>
      <c r="H175">
        <v>103</v>
      </c>
      <c r="I175">
        <v>1998</v>
      </c>
      <c r="J175" t="s">
        <v>261</v>
      </c>
      <c r="K175">
        <v>1167904</v>
      </c>
      <c r="L175" s="1">
        <v>35947</v>
      </c>
      <c r="M175" s="1" t="s">
        <v>3165</v>
      </c>
      <c r="N175" t="s">
        <v>533</v>
      </c>
      <c r="O175" t="s">
        <v>3149</v>
      </c>
    </row>
    <row r="176" spans="1:15" x14ac:dyDescent="0.3">
      <c r="A176" t="s">
        <v>534</v>
      </c>
      <c r="B176">
        <v>8</v>
      </c>
      <c r="C176" s="1">
        <v>44232</v>
      </c>
      <c r="D176" t="s">
        <v>535</v>
      </c>
      <c r="E176" t="s">
        <v>536</v>
      </c>
      <c r="F176" t="s">
        <v>15</v>
      </c>
      <c r="G176" t="s">
        <v>56</v>
      </c>
      <c r="H176">
        <v>159</v>
      </c>
      <c r="I176">
        <v>1999</v>
      </c>
      <c r="J176" t="s">
        <v>178</v>
      </c>
      <c r="K176">
        <v>367672</v>
      </c>
      <c r="L176" s="1">
        <v>36354</v>
      </c>
      <c r="M176" s="1" t="s">
        <v>3165</v>
      </c>
      <c r="N176" t="s">
        <v>537</v>
      </c>
      <c r="O176" t="s">
        <v>3149</v>
      </c>
    </row>
    <row r="177" spans="1:15" x14ac:dyDescent="0.3">
      <c r="A177" t="s">
        <v>538</v>
      </c>
      <c r="B177">
        <v>7</v>
      </c>
      <c r="C177" s="1">
        <v>43839</v>
      </c>
      <c r="D177" t="s">
        <v>539</v>
      </c>
      <c r="E177" t="s">
        <v>540</v>
      </c>
      <c r="F177" t="s">
        <v>15</v>
      </c>
      <c r="G177" t="s">
        <v>56</v>
      </c>
      <c r="H177">
        <v>124</v>
      </c>
      <c r="I177">
        <v>1998</v>
      </c>
      <c r="J177" t="s">
        <v>541</v>
      </c>
      <c r="K177">
        <v>135112</v>
      </c>
      <c r="L177" s="1">
        <v>36055</v>
      </c>
      <c r="M177" s="1" t="s">
        <v>3165</v>
      </c>
      <c r="N177" t="s">
        <v>542</v>
      </c>
      <c r="O177" t="s">
        <v>3149</v>
      </c>
    </row>
    <row r="178" spans="1:15" x14ac:dyDescent="0.3">
      <c r="A178" t="s">
        <v>543</v>
      </c>
      <c r="B178">
        <v>6</v>
      </c>
      <c r="C178" s="1">
        <v>45237</v>
      </c>
      <c r="D178" t="s">
        <v>544</v>
      </c>
      <c r="E178" t="s">
        <v>545</v>
      </c>
      <c r="F178" t="s">
        <v>15</v>
      </c>
      <c r="G178" t="s">
        <v>116</v>
      </c>
      <c r="H178">
        <v>104</v>
      </c>
      <c r="I178">
        <v>1998</v>
      </c>
      <c r="J178" t="s">
        <v>546</v>
      </c>
      <c r="K178">
        <v>91866</v>
      </c>
      <c r="L178" s="1">
        <v>36084</v>
      </c>
      <c r="M178" s="1" t="s">
        <v>3165</v>
      </c>
      <c r="N178" t="s">
        <v>547</v>
      </c>
      <c r="O178" t="s">
        <v>3149</v>
      </c>
    </row>
    <row r="179" spans="1:15" x14ac:dyDescent="0.3">
      <c r="A179" t="s">
        <v>553</v>
      </c>
      <c r="B179">
        <v>6</v>
      </c>
      <c r="C179" s="1">
        <v>44922</v>
      </c>
      <c r="D179" t="s">
        <v>554</v>
      </c>
      <c r="E179" t="s">
        <v>555</v>
      </c>
      <c r="F179" t="s">
        <v>15</v>
      </c>
      <c r="G179" t="s">
        <v>35</v>
      </c>
      <c r="H179">
        <v>118</v>
      </c>
      <c r="I179">
        <v>1998</v>
      </c>
      <c r="J179" t="s">
        <v>556</v>
      </c>
      <c r="K179">
        <v>37859</v>
      </c>
      <c r="L179" s="1">
        <v>35937</v>
      </c>
      <c r="M179" s="1" t="s">
        <v>3165</v>
      </c>
      <c r="N179" t="s">
        <v>557</v>
      </c>
      <c r="O179" t="s">
        <v>3149</v>
      </c>
    </row>
    <row r="180" spans="1:15" x14ac:dyDescent="0.3">
      <c r="A180" t="s">
        <v>561</v>
      </c>
      <c r="B180">
        <v>6</v>
      </c>
      <c r="C180" s="1">
        <v>44897</v>
      </c>
      <c r="D180" t="s">
        <v>562</v>
      </c>
      <c r="E180" t="s">
        <v>563</v>
      </c>
      <c r="F180" t="s">
        <v>15</v>
      </c>
      <c r="G180" t="s">
        <v>148</v>
      </c>
      <c r="H180">
        <v>77</v>
      </c>
      <c r="I180">
        <v>2005</v>
      </c>
      <c r="J180" t="s">
        <v>564</v>
      </c>
      <c r="K180">
        <v>294750</v>
      </c>
      <c r="L180" s="1">
        <v>38602</v>
      </c>
      <c r="M180" s="1" t="s">
        <v>3165</v>
      </c>
      <c r="N180" t="s">
        <v>565</v>
      </c>
      <c r="O180" t="s">
        <v>3149</v>
      </c>
    </row>
    <row r="181" spans="1:15" x14ac:dyDescent="0.3">
      <c r="A181" t="s">
        <v>580</v>
      </c>
      <c r="B181">
        <v>7</v>
      </c>
      <c r="C181" s="1">
        <v>44904</v>
      </c>
      <c r="D181" t="s">
        <v>581</v>
      </c>
      <c r="E181" t="s">
        <v>582</v>
      </c>
      <c r="F181" t="s">
        <v>583</v>
      </c>
      <c r="G181" t="s">
        <v>35</v>
      </c>
      <c r="H181">
        <v>120</v>
      </c>
      <c r="I181">
        <v>1998</v>
      </c>
      <c r="J181" t="s">
        <v>584</v>
      </c>
      <c r="K181">
        <v>49451</v>
      </c>
      <c r="L181" s="1">
        <v>35826</v>
      </c>
      <c r="M181" s="1" t="s">
        <v>3165</v>
      </c>
      <c r="N181" t="s">
        <v>585</v>
      </c>
      <c r="O181" t="s">
        <v>3149</v>
      </c>
    </row>
    <row r="182" spans="1:15" x14ac:dyDescent="0.3">
      <c r="A182" t="s">
        <v>673</v>
      </c>
      <c r="B182">
        <v>7</v>
      </c>
      <c r="C182" s="1">
        <v>45140</v>
      </c>
      <c r="D182" t="s">
        <v>674</v>
      </c>
      <c r="E182" t="s">
        <v>675</v>
      </c>
      <c r="F182" t="s">
        <v>15</v>
      </c>
      <c r="G182" t="s">
        <v>84</v>
      </c>
      <c r="H182">
        <v>81</v>
      </c>
      <c r="I182">
        <v>1998</v>
      </c>
      <c r="J182" t="s">
        <v>676</v>
      </c>
      <c r="K182">
        <v>204987</v>
      </c>
      <c r="L182" s="1">
        <v>36027</v>
      </c>
      <c r="M182" s="1" t="s">
        <v>3180</v>
      </c>
      <c r="N182" t="s">
        <v>677</v>
      </c>
      <c r="O182" t="s">
        <v>3149</v>
      </c>
    </row>
    <row r="183" spans="1:15" x14ac:dyDescent="0.3">
      <c r="A183" t="s">
        <v>710</v>
      </c>
      <c r="B183">
        <v>7</v>
      </c>
      <c r="C183" s="1">
        <v>44819</v>
      </c>
      <c r="D183" t="s">
        <v>711</v>
      </c>
      <c r="E183" t="s">
        <v>712</v>
      </c>
      <c r="F183" t="s">
        <v>15</v>
      </c>
      <c r="G183" t="s">
        <v>148</v>
      </c>
      <c r="H183">
        <v>139</v>
      </c>
      <c r="I183">
        <v>1999</v>
      </c>
      <c r="J183" t="s">
        <v>123</v>
      </c>
      <c r="K183">
        <v>229527</v>
      </c>
      <c r="L183" s="1">
        <v>36506</v>
      </c>
      <c r="M183" s="1" t="s">
        <v>3165</v>
      </c>
      <c r="N183" t="s">
        <v>713</v>
      </c>
      <c r="O183" t="s">
        <v>3149</v>
      </c>
    </row>
    <row r="184" spans="1:15" x14ac:dyDescent="0.3">
      <c r="A184" t="s">
        <v>748</v>
      </c>
      <c r="B184">
        <v>8</v>
      </c>
      <c r="C184" s="1">
        <v>44199</v>
      </c>
      <c r="D184" t="s">
        <v>749</v>
      </c>
      <c r="E184" t="s">
        <v>750</v>
      </c>
      <c r="F184" t="s">
        <v>15</v>
      </c>
      <c r="G184" t="s">
        <v>751</v>
      </c>
      <c r="H184">
        <v>139</v>
      </c>
      <c r="I184">
        <v>1999</v>
      </c>
      <c r="J184" t="s">
        <v>24</v>
      </c>
      <c r="K184">
        <v>2272868</v>
      </c>
      <c r="L184" s="1">
        <v>36413</v>
      </c>
      <c r="M184" s="1" t="s">
        <v>3165</v>
      </c>
      <c r="N184" t="s">
        <v>205</v>
      </c>
      <c r="O184" t="s">
        <v>3149</v>
      </c>
    </row>
    <row r="185" spans="1:15" x14ac:dyDescent="0.3">
      <c r="A185" t="s">
        <v>809</v>
      </c>
      <c r="B185">
        <v>8</v>
      </c>
      <c r="C185" s="1">
        <v>44563</v>
      </c>
      <c r="D185" t="s">
        <v>810</v>
      </c>
      <c r="E185" t="s">
        <v>811</v>
      </c>
      <c r="F185" t="s">
        <v>15</v>
      </c>
      <c r="G185" t="s">
        <v>41</v>
      </c>
      <c r="H185">
        <v>102</v>
      </c>
      <c r="I185">
        <v>2000</v>
      </c>
      <c r="J185" t="s">
        <v>812</v>
      </c>
      <c r="K185">
        <v>694029</v>
      </c>
      <c r="L185" s="1">
        <v>36546</v>
      </c>
      <c r="M185" s="1" t="s">
        <v>3165</v>
      </c>
      <c r="N185" t="s">
        <v>813</v>
      </c>
      <c r="O185" t="s">
        <v>3175</v>
      </c>
    </row>
    <row r="186" spans="1:15" x14ac:dyDescent="0.3">
      <c r="A186" t="s">
        <v>818</v>
      </c>
      <c r="B186">
        <v>7</v>
      </c>
      <c r="C186" s="1">
        <v>44767</v>
      </c>
      <c r="D186" t="s">
        <v>819</v>
      </c>
      <c r="E186" t="s">
        <v>820</v>
      </c>
      <c r="F186" t="s">
        <v>15</v>
      </c>
      <c r="G186" t="s">
        <v>148</v>
      </c>
      <c r="H186">
        <v>71</v>
      </c>
      <c r="I186">
        <v>1968</v>
      </c>
      <c r="J186" t="s">
        <v>821</v>
      </c>
      <c r="K186">
        <v>449</v>
      </c>
      <c r="L186" s="1">
        <v>25095</v>
      </c>
      <c r="M186" s="1" t="s">
        <v>3179</v>
      </c>
      <c r="N186" t="s">
        <v>822</v>
      </c>
      <c r="O186" t="s">
        <v>3149</v>
      </c>
    </row>
    <row r="187" spans="1:15" x14ac:dyDescent="0.3">
      <c r="A187" t="s">
        <v>823</v>
      </c>
      <c r="B187">
        <v>6</v>
      </c>
      <c r="C187" s="1">
        <v>45155</v>
      </c>
      <c r="D187" t="s">
        <v>824</v>
      </c>
      <c r="E187" t="s">
        <v>825</v>
      </c>
      <c r="F187" t="s">
        <v>15</v>
      </c>
      <c r="G187" t="s">
        <v>56</v>
      </c>
      <c r="H187">
        <v>90</v>
      </c>
      <c r="I187">
        <v>1999</v>
      </c>
      <c r="J187" t="s">
        <v>17</v>
      </c>
      <c r="K187">
        <v>14257</v>
      </c>
      <c r="L187" s="1">
        <v>36250</v>
      </c>
      <c r="M187" s="1" t="s">
        <v>3155</v>
      </c>
      <c r="N187" t="s">
        <v>826</v>
      </c>
      <c r="O187" t="s">
        <v>3149</v>
      </c>
    </row>
    <row r="188" spans="1:15" x14ac:dyDescent="0.3">
      <c r="A188" t="s">
        <v>962</v>
      </c>
      <c r="B188">
        <v>7</v>
      </c>
      <c r="C188" s="1">
        <v>44599</v>
      </c>
      <c r="D188" t="s">
        <v>963</v>
      </c>
      <c r="E188" t="s">
        <v>964</v>
      </c>
      <c r="F188" t="s">
        <v>15</v>
      </c>
      <c r="G188" t="s">
        <v>79</v>
      </c>
      <c r="H188">
        <v>97</v>
      </c>
      <c r="I188">
        <v>1999</v>
      </c>
      <c r="J188" t="s">
        <v>42</v>
      </c>
      <c r="K188">
        <v>166034</v>
      </c>
      <c r="L188" s="1">
        <v>36299</v>
      </c>
      <c r="M188" s="1" t="s">
        <v>3165</v>
      </c>
      <c r="N188" t="s">
        <v>796</v>
      </c>
      <c r="O188" t="s">
        <v>3175</v>
      </c>
    </row>
    <row r="189" spans="1:15" x14ac:dyDescent="0.3">
      <c r="A189" t="s">
        <v>1001</v>
      </c>
      <c r="B189">
        <v>5</v>
      </c>
      <c r="C189" s="1">
        <v>44937</v>
      </c>
      <c r="D189" t="s">
        <v>1002</v>
      </c>
      <c r="E189" t="s">
        <v>1003</v>
      </c>
      <c r="F189" t="s">
        <v>15</v>
      </c>
      <c r="G189" t="s">
        <v>524</v>
      </c>
      <c r="H189">
        <v>119</v>
      </c>
      <c r="I189">
        <v>2000</v>
      </c>
      <c r="J189" t="s">
        <v>1004</v>
      </c>
      <c r="K189">
        <v>250876</v>
      </c>
      <c r="L189" s="1">
        <v>36558</v>
      </c>
      <c r="M189" s="1" t="s">
        <v>3165</v>
      </c>
      <c r="N189" t="s">
        <v>483</v>
      </c>
      <c r="O189" t="s">
        <v>3149</v>
      </c>
    </row>
    <row r="190" spans="1:15" x14ac:dyDescent="0.3">
      <c r="A190" t="s">
        <v>1034</v>
      </c>
      <c r="B190">
        <v>7</v>
      </c>
      <c r="C190" s="1">
        <v>44344</v>
      </c>
      <c r="D190" t="s">
        <v>1035</v>
      </c>
      <c r="E190" t="s">
        <v>1036</v>
      </c>
      <c r="F190" t="s">
        <v>15</v>
      </c>
      <c r="G190" t="s">
        <v>143</v>
      </c>
      <c r="H190">
        <v>147</v>
      </c>
      <c r="I190">
        <v>2001</v>
      </c>
      <c r="J190" t="s">
        <v>178</v>
      </c>
      <c r="K190">
        <v>377763</v>
      </c>
      <c r="L190" s="1">
        <v>37027</v>
      </c>
      <c r="M190" s="1" t="s">
        <v>3165</v>
      </c>
      <c r="N190" t="s">
        <v>452</v>
      </c>
      <c r="O190" t="s">
        <v>3149</v>
      </c>
    </row>
    <row r="191" spans="1:15" x14ac:dyDescent="0.3">
      <c r="A191" t="s">
        <v>1045</v>
      </c>
      <c r="B191">
        <v>8</v>
      </c>
      <c r="C191" s="1">
        <v>44564</v>
      </c>
      <c r="D191" t="s">
        <v>1046</v>
      </c>
      <c r="E191" t="s">
        <v>1047</v>
      </c>
      <c r="F191" t="s">
        <v>15</v>
      </c>
      <c r="G191" t="s">
        <v>187</v>
      </c>
      <c r="H191">
        <v>122</v>
      </c>
      <c r="I191">
        <v>1999</v>
      </c>
      <c r="J191" t="s">
        <v>24</v>
      </c>
      <c r="K191">
        <v>1197078</v>
      </c>
      <c r="L191" s="1">
        <v>36411</v>
      </c>
      <c r="M191" s="1" t="s">
        <v>3165</v>
      </c>
      <c r="N191" t="s">
        <v>1048</v>
      </c>
      <c r="O191" t="s">
        <v>3149</v>
      </c>
    </row>
    <row r="192" spans="1:15" x14ac:dyDescent="0.3">
      <c r="A192" t="s">
        <v>1083</v>
      </c>
      <c r="B192">
        <v>9</v>
      </c>
      <c r="C192" s="1">
        <v>44819</v>
      </c>
      <c r="D192" t="s">
        <v>1084</v>
      </c>
      <c r="E192" t="s">
        <v>1085</v>
      </c>
      <c r="F192" t="s">
        <v>15</v>
      </c>
      <c r="G192" t="s">
        <v>16</v>
      </c>
      <c r="H192">
        <v>127</v>
      </c>
      <c r="I192">
        <v>1999</v>
      </c>
      <c r="J192" t="s">
        <v>574</v>
      </c>
      <c r="K192">
        <v>206591</v>
      </c>
      <c r="L192" s="1">
        <v>36502</v>
      </c>
      <c r="M192" s="1" t="s">
        <v>3165</v>
      </c>
      <c r="N192" t="s">
        <v>1086</v>
      </c>
      <c r="O192" t="s">
        <v>3149</v>
      </c>
    </row>
    <row r="193" spans="1:15" x14ac:dyDescent="0.3">
      <c r="A193" t="s">
        <v>1118</v>
      </c>
      <c r="B193">
        <v>8</v>
      </c>
      <c r="C193" s="1">
        <v>43844</v>
      </c>
      <c r="D193" t="s">
        <v>1119</v>
      </c>
      <c r="E193" t="s">
        <v>1120</v>
      </c>
      <c r="F193" t="s">
        <v>15</v>
      </c>
      <c r="G193" t="s">
        <v>187</v>
      </c>
      <c r="H193">
        <v>102</v>
      </c>
      <c r="I193">
        <v>2000</v>
      </c>
      <c r="J193" t="s">
        <v>24</v>
      </c>
      <c r="K193">
        <v>885238</v>
      </c>
      <c r="L193" s="1">
        <v>36660</v>
      </c>
      <c r="M193" s="1" t="s">
        <v>3165</v>
      </c>
      <c r="N193" t="s">
        <v>760</v>
      </c>
      <c r="O193" t="s">
        <v>3149</v>
      </c>
    </row>
    <row r="194" spans="1:15" x14ac:dyDescent="0.3">
      <c r="A194" t="s">
        <v>1121</v>
      </c>
      <c r="B194">
        <v>6</v>
      </c>
      <c r="C194" s="1">
        <v>44482</v>
      </c>
      <c r="D194" t="s">
        <v>1122</v>
      </c>
      <c r="E194" t="s">
        <v>1123</v>
      </c>
      <c r="F194" t="s">
        <v>47</v>
      </c>
      <c r="G194" t="s">
        <v>116</v>
      </c>
      <c r="H194">
        <v>23</v>
      </c>
      <c r="I194">
        <v>1991</v>
      </c>
      <c r="J194" t="s">
        <v>199</v>
      </c>
      <c r="K194">
        <v>210</v>
      </c>
      <c r="L194" s="1">
        <v>33432</v>
      </c>
      <c r="M194" s="1" t="s">
        <v>3171</v>
      </c>
      <c r="N194" t="s">
        <v>1124</v>
      </c>
      <c r="O194" t="s">
        <v>3175</v>
      </c>
    </row>
    <row r="195" spans="1:15" x14ac:dyDescent="0.3">
      <c r="A195" t="s">
        <v>1139</v>
      </c>
      <c r="B195">
        <v>7</v>
      </c>
      <c r="C195" s="1">
        <v>45214</v>
      </c>
      <c r="D195" t="s">
        <v>1140</v>
      </c>
      <c r="E195" t="s">
        <v>1141</v>
      </c>
      <c r="F195" t="s">
        <v>15</v>
      </c>
      <c r="G195" t="s">
        <v>61</v>
      </c>
      <c r="H195">
        <v>101</v>
      </c>
      <c r="I195">
        <v>1999</v>
      </c>
      <c r="J195" t="s">
        <v>17</v>
      </c>
      <c r="K195">
        <v>101730</v>
      </c>
      <c r="L195" s="1">
        <v>36258</v>
      </c>
      <c r="M195" s="1" t="s">
        <v>3159</v>
      </c>
      <c r="N195" t="s">
        <v>457</v>
      </c>
      <c r="O195" t="s">
        <v>3149</v>
      </c>
    </row>
    <row r="196" spans="1:15" x14ac:dyDescent="0.3">
      <c r="A196" t="s">
        <v>1145</v>
      </c>
      <c r="B196">
        <v>6</v>
      </c>
      <c r="C196" s="1">
        <v>45158</v>
      </c>
      <c r="D196" t="s">
        <v>1146</v>
      </c>
      <c r="E196" t="s">
        <v>1147</v>
      </c>
      <c r="F196" t="s">
        <v>15</v>
      </c>
      <c r="G196" t="s">
        <v>73</v>
      </c>
      <c r="H196">
        <v>81</v>
      </c>
      <c r="I196">
        <v>1999</v>
      </c>
      <c r="J196" t="s">
        <v>1148</v>
      </c>
      <c r="K196">
        <v>280667</v>
      </c>
      <c r="L196" s="1">
        <v>36185</v>
      </c>
      <c r="M196" s="1" t="s">
        <v>3165</v>
      </c>
      <c r="N196" t="s">
        <v>1149</v>
      </c>
      <c r="O196" t="s">
        <v>3149</v>
      </c>
    </row>
    <row r="197" spans="1:15" x14ac:dyDescent="0.3">
      <c r="A197" t="s">
        <v>1194</v>
      </c>
      <c r="B197">
        <v>7</v>
      </c>
      <c r="C197" s="1">
        <v>44905</v>
      </c>
      <c r="D197" t="s">
        <v>1195</v>
      </c>
      <c r="E197" t="s">
        <v>1196</v>
      </c>
      <c r="F197" t="s">
        <v>708</v>
      </c>
      <c r="G197" t="s">
        <v>369</v>
      </c>
      <c r="H197">
        <v>71</v>
      </c>
      <c r="I197">
        <v>1987</v>
      </c>
      <c r="J197" t="s">
        <v>703</v>
      </c>
      <c r="K197">
        <v>1033</v>
      </c>
      <c r="L197" s="1">
        <v>32142</v>
      </c>
      <c r="M197" s="1" t="s">
        <v>3165</v>
      </c>
      <c r="N197" t="s">
        <v>1197</v>
      </c>
      <c r="O197" t="s">
        <v>3149</v>
      </c>
    </row>
    <row r="198" spans="1:15" x14ac:dyDescent="0.3">
      <c r="A198" t="s">
        <v>1198</v>
      </c>
      <c r="B198">
        <v>5</v>
      </c>
      <c r="C198" s="1">
        <v>43693</v>
      </c>
      <c r="D198" t="s">
        <v>1199</v>
      </c>
      <c r="E198" t="s">
        <v>1200</v>
      </c>
      <c r="F198" t="s">
        <v>15</v>
      </c>
      <c r="G198" t="s">
        <v>158</v>
      </c>
      <c r="H198">
        <v>98</v>
      </c>
      <c r="I198">
        <v>2000</v>
      </c>
      <c r="J198" t="s">
        <v>421</v>
      </c>
      <c r="K198">
        <v>274975</v>
      </c>
      <c r="L198" s="1">
        <v>36601</v>
      </c>
      <c r="M198" s="1" t="s">
        <v>3165</v>
      </c>
      <c r="N198" t="s">
        <v>1201</v>
      </c>
      <c r="O198" t="s">
        <v>3149</v>
      </c>
    </row>
    <row r="199" spans="1:15" x14ac:dyDescent="0.3">
      <c r="A199" t="s">
        <v>1225</v>
      </c>
      <c r="B199">
        <v>7</v>
      </c>
      <c r="C199" s="1">
        <v>45098</v>
      </c>
      <c r="D199" t="s">
        <v>1226</v>
      </c>
      <c r="E199" t="s">
        <v>1227</v>
      </c>
      <c r="F199" t="s">
        <v>15</v>
      </c>
      <c r="G199" t="s">
        <v>41</v>
      </c>
      <c r="H199">
        <v>127</v>
      </c>
      <c r="I199">
        <v>2001</v>
      </c>
      <c r="J199" t="s">
        <v>1228</v>
      </c>
      <c r="K199">
        <v>296397</v>
      </c>
      <c r="L199" s="1">
        <v>37020</v>
      </c>
      <c r="M199" s="1" t="s">
        <v>3165</v>
      </c>
      <c r="N199" t="s">
        <v>721</v>
      </c>
      <c r="O199" t="s">
        <v>3149</v>
      </c>
    </row>
    <row r="200" spans="1:15" x14ac:dyDescent="0.3">
      <c r="A200" t="s">
        <v>1252</v>
      </c>
      <c r="B200">
        <v>8</v>
      </c>
      <c r="C200" s="1">
        <v>44035</v>
      </c>
      <c r="D200" t="s">
        <v>1253</v>
      </c>
      <c r="E200" t="s">
        <v>1254</v>
      </c>
      <c r="F200" t="s">
        <v>15</v>
      </c>
      <c r="G200" t="s">
        <v>927</v>
      </c>
      <c r="H200">
        <v>113</v>
      </c>
      <c r="I200">
        <v>2000</v>
      </c>
      <c r="J200" t="s">
        <v>370</v>
      </c>
      <c r="K200">
        <v>1302366</v>
      </c>
      <c r="L200" s="1">
        <v>36774</v>
      </c>
      <c r="M200" s="1" t="s">
        <v>3165</v>
      </c>
      <c r="N200" t="s">
        <v>756</v>
      </c>
      <c r="O200" t="s">
        <v>3149</v>
      </c>
    </row>
    <row r="201" spans="1:15" x14ac:dyDescent="0.3">
      <c r="A201" t="s">
        <v>1262</v>
      </c>
      <c r="B201">
        <v>5</v>
      </c>
      <c r="C201" s="1">
        <v>44833</v>
      </c>
      <c r="D201" t="s">
        <v>1263</v>
      </c>
      <c r="E201" t="s">
        <v>1264</v>
      </c>
      <c r="F201" t="s">
        <v>15</v>
      </c>
      <c r="G201" t="s">
        <v>158</v>
      </c>
      <c r="H201">
        <v>82</v>
      </c>
      <c r="I201">
        <v>2000</v>
      </c>
      <c r="J201" t="s">
        <v>17</v>
      </c>
      <c r="K201">
        <v>6850</v>
      </c>
      <c r="L201" s="1">
        <v>36569</v>
      </c>
      <c r="M201" s="1" t="s">
        <v>3155</v>
      </c>
      <c r="N201" t="s">
        <v>183</v>
      </c>
      <c r="O201" t="s">
        <v>3149</v>
      </c>
    </row>
    <row r="202" spans="1:15" x14ac:dyDescent="0.3">
      <c r="A202" t="s">
        <v>1265</v>
      </c>
      <c r="B202">
        <v>8</v>
      </c>
      <c r="C202" s="1">
        <v>44552</v>
      </c>
      <c r="D202" t="s">
        <v>1266</v>
      </c>
      <c r="E202" t="s">
        <v>1267</v>
      </c>
      <c r="F202" t="s">
        <v>15</v>
      </c>
      <c r="G202" t="s">
        <v>187</v>
      </c>
      <c r="H202">
        <v>122</v>
      </c>
      <c r="I202">
        <v>2001</v>
      </c>
      <c r="J202" t="s">
        <v>225</v>
      </c>
      <c r="K202">
        <v>785392</v>
      </c>
      <c r="L202" s="1">
        <v>37006</v>
      </c>
      <c r="M202" s="1" t="s">
        <v>3155</v>
      </c>
      <c r="N202" t="s">
        <v>1268</v>
      </c>
      <c r="O202" t="s">
        <v>3149</v>
      </c>
    </row>
    <row r="203" spans="1:15" x14ac:dyDescent="0.3">
      <c r="A203" t="s">
        <v>1325</v>
      </c>
      <c r="B203">
        <v>6</v>
      </c>
      <c r="C203" s="1">
        <v>45081</v>
      </c>
      <c r="D203" t="s">
        <v>1326</v>
      </c>
      <c r="E203" t="s">
        <v>1327</v>
      </c>
      <c r="F203" t="s">
        <v>15</v>
      </c>
      <c r="G203" t="s">
        <v>41</v>
      </c>
      <c r="H203">
        <v>79</v>
      </c>
      <c r="I203">
        <v>1929</v>
      </c>
      <c r="J203" t="s">
        <v>96</v>
      </c>
      <c r="K203">
        <v>207</v>
      </c>
      <c r="L203" s="1">
        <v>10832</v>
      </c>
      <c r="M203" s="1" t="s">
        <v>3179</v>
      </c>
      <c r="N203" t="s">
        <v>1328</v>
      </c>
      <c r="O203" t="s">
        <v>3149</v>
      </c>
    </row>
    <row r="204" spans="1:15" x14ac:dyDescent="0.3">
      <c r="A204" t="s">
        <v>1349</v>
      </c>
      <c r="B204">
        <v>7</v>
      </c>
      <c r="C204" s="1">
        <v>44824</v>
      </c>
      <c r="D204" t="s">
        <v>1350</v>
      </c>
      <c r="E204" t="s">
        <v>1351</v>
      </c>
      <c r="F204" t="s">
        <v>15</v>
      </c>
      <c r="G204" t="s">
        <v>41</v>
      </c>
      <c r="H204">
        <v>101</v>
      </c>
      <c r="I204">
        <v>2001</v>
      </c>
      <c r="J204" t="s">
        <v>738</v>
      </c>
      <c r="K204">
        <v>387856</v>
      </c>
      <c r="L204" s="1">
        <v>37105</v>
      </c>
      <c r="M204" s="1" t="s">
        <v>3165</v>
      </c>
      <c r="N204" t="s">
        <v>1352</v>
      </c>
      <c r="O204" t="s">
        <v>3149</v>
      </c>
    </row>
    <row r="205" spans="1:15" x14ac:dyDescent="0.3">
      <c r="A205" t="s">
        <v>1371</v>
      </c>
      <c r="B205">
        <v>7</v>
      </c>
      <c r="C205" s="1">
        <v>44922</v>
      </c>
      <c r="D205" t="s">
        <v>1372</v>
      </c>
      <c r="E205" t="s">
        <v>1373</v>
      </c>
      <c r="F205" t="s">
        <v>15</v>
      </c>
      <c r="G205" t="s">
        <v>1170</v>
      </c>
      <c r="H205">
        <v>95</v>
      </c>
      <c r="I205">
        <v>2001</v>
      </c>
      <c r="J205" t="s">
        <v>584</v>
      </c>
      <c r="K205">
        <v>18849</v>
      </c>
      <c r="L205" s="1">
        <v>37142</v>
      </c>
      <c r="M205" s="1" t="s">
        <v>3165</v>
      </c>
      <c r="N205" t="s">
        <v>1374</v>
      </c>
      <c r="O205" t="s">
        <v>3149</v>
      </c>
    </row>
    <row r="206" spans="1:15" x14ac:dyDescent="0.3">
      <c r="A206" t="s">
        <v>1412</v>
      </c>
      <c r="B206">
        <v>5</v>
      </c>
      <c r="C206" s="1">
        <v>44989</v>
      </c>
      <c r="D206" t="s">
        <v>1413</v>
      </c>
      <c r="E206" t="s">
        <v>1414</v>
      </c>
      <c r="F206" t="s">
        <v>15</v>
      </c>
      <c r="G206" t="s">
        <v>73</v>
      </c>
      <c r="H206">
        <v>58</v>
      </c>
      <c r="I206">
        <v>1946</v>
      </c>
      <c r="J206" t="s">
        <v>1410</v>
      </c>
      <c r="K206">
        <v>143</v>
      </c>
      <c r="L206" s="1">
        <v>17136</v>
      </c>
      <c r="M206" s="1" t="s">
        <v>3163</v>
      </c>
      <c r="N206" t="s">
        <v>1415</v>
      </c>
      <c r="O206" t="s">
        <v>3149</v>
      </c>
    </row>
    <row r="207" spans="1:15" x14ac:dyDescent="0.3">
      <c r="A207" t="s">
        <v>1416</v>
      </c>
      <c r="B207">
        <v>6</v>
      </c>
      <c r="C207" s="1">
        <v>45127</v>
      </c>
      <c r="D207" t="s">
        <v>1417</v>
      </c>
      <c r="E207" t="s">
        <v>1418</v>
      </c>
      <c r="F207" t="s">
        <v>15</v>
      </c>
      <c r="G207" t="s">
        <v>84</v>
      </c>
      <c r="H207">
        <v>106</v>
      </c>
      <c r="I207">
        <v>2001</v>
      </c>
      <c r="J207" t="s">
        <v>24</v>
      </c>
      <c r="K207">
        <v>127864</v>
      </c>
      <c r="L207" s="1">
        <v>37050</v>
      </c>
      <c r="M207" s="1" t="s">
        <v>3172</v>
      </c>
      <c r="N207" t="s">
        <v>1419</v>
      </c>
      <c r="O207" t="s">
        <v>3149</v>
      </c>
    </row>
    <row r="208" spans="1:15" x14ac:dyDescent="0.3">
      <c r="A208" t="s">
        <v>1420</v>
      </c>
      <c r="B208">
        <v>7</v>
      </c>
      <c r="C208" s="1">
        <v>44372</v>
      </c>
      <c r="D208" t="s">
        <v>1421</v>
      </c>
      <c r="E208" t="s">
        <v>1422</v>
      </c>
      <c r="F208" t="s">
        <v>15</v>
      </c>
      <c r="G208" t="s">
        <v>29</v>
      </c>
      <c r="H208">
        <v>113</v>
      </c>
      <c r="I208">
        <v>2001</v>
      </c>
      <c r="J208" t="s">
        <v>1423</v>
      </c>
      <c r="K208">
        <v>838526</v>
      </c>
      <c r="L208" s="1">
        <v>36910</v>
      </c>
      <c r="M208" s="1" t="s">
        <v>3165</v>
      </c>
      <c r="N208" t="s">
        <v>1424</v>
      </c>
      <c r="O208" t="s">
        <v>3149</v>
      </c>
    </row>
    <row r="209" spans="1:15" x14ac:dyDescent="0.3">
      <c r="A209" t="s">
        <v>1434</v>
      </c>
      <c r="B209">
        <v>7</v>
      </c>
      <c r="C209" s="1">
        <v>45184</v>
      </c>
      <c r="D209" t="s">
        <v>1435</v>
      </c>
      <c r="E209" t="s">
        <v>1436</v>
      </c>
      <c r="F209" t="s">
        <v>15</v>
      </c>
      <c r="G209" t="s">
        <v>73</v>
      </c>
      <c r="H209">
        <v>96</v>
      </c>
      <c r="I209">
        <v>2001</v>
      </c>
      <c r="J209" t="s">
        <v>225</v>
      </c>
      <c r="K209">
        <v>241156</v>
      </c>
      <c r="L209" s="1">
        <v>37068</v>
      </c>
      <c r="M209" s="1" t="s">
        <v>3165</v>
      </c>
      <c r="N209" t="s">
        <v>1437</v>
      </c>
      <c r="O209" t="s">
        <v>3149</v>
      </c>
    </row>
    <row r="210" spans="1:15" x14ac:dyDescent="0.3">
      <c r="A210" t="s">
        <v>1442</v>
      </c>
      <c r="B210">
        <v>7</v>
      </c>
      <c r="C210" s="1">
        <v>44558</v>
      </c>
      <c r="D210" t="s">
        <v>1443</v>
      </c>
      <c r="E210" t="s">
        <v>1444</v>
      </c>
      <c r="F210" t="s">
        <v>15</v>
      </c>
      <c r="G210" t="s">
        <v>23</v>
      </c>
      <c r="H210">
        <v>150</v>
      </c>
      <c r="I210">
        <v>2002</v>
      </c>
      <c r="J210" t="s">
        <v>1445</v>
      </c>
      <c r="K210">
        <v>893030</v>
      </c>
      <c r="L210" s="1">
        <v>37400</v>
      </c>
      <c r="M210" s="1" t="s">
        <v>3171</v>
      </c>
      <c r="N210" t="s">
        <v>1393</v>
      </c>
      <c r="O210" t="s">
        <v>3149</v>
      </c>
    </row>
    <row r="211" spans="1:15" x14ac:dyDescent="0.3">
      <c r="A211" t="s">
        <v>1451</v>
      </c>
      <c r="B211">
        <v>8</v>
      </c>
      <c r="C211" s="1">
        <v>44399</v>
      </c>
      <c r="D211" t="s">
        <v>1452</v>
      </c>
      <c r="E211" t="s">
        <v>1453</v>
      </c>
      <c r="F211" t="s">
        <v>15</v>
      </c>
      <c r="G211" t="s">
        <v>56</v>
      </c>
      <c r="H211">
        <v>131</v>
      </c>
      <c r="I211">
        <v>2001</v>
      </c>
      <c r="J211" t="s">
        <v>556</v>
      </c>
      <c r="K211">
        <v>70144</v>
      </c>
      <c r="L211" s="1">
        <v>37025</v>
      </c>
      <c r="M211" s="1" t="s">
        <v>3155</v>
      </c>
      <c r="N211" t="s">
        <v>1454</v>
      </c>
      <c r="O211" t="s">
        <v>3149</v>
      </c>
    </row>
    <row r="212" spans="1:15" x14ac:dyDescent="0.3">
      <c r="A212" t="s">
        <v>1494</v>
      </c>
      <c r="B212">
        <v>7</v>
      </c>
      <c r="C212" s="1">
        <v>44201</v>
      </c>
      <c r="D212" t="s">
        <v>1495</v>
      </c>
      <c r="E212" t="s">
        <v>1496</v>
      </c>
      <c r="F212" t="s">
        <v>15</v>
      </c>
      <c r="G212" t="s">
        <v>41</v>
      </c>
      <c r="H212">
        <v>110</v>
      </c>
      <c r="I212">
        <v>2001</v>
      </c>
      <c r="J212" t="s">
        <v>261</v>
      </c>
      <c r="K212">
        <v>309649</v>
      </c>
      <c r="L212" s="1">
        <v>37169</v>
      </c>
      <c r="M212" s="1" t="s">
        <v>3165</v>
      </c>
      <c r="N212" t="s">
        <v>298</v>
      </c>
      <c r="O212" t="s">
        <v>3149</v>
      </c>
    </row>
    <row r="213" spans="1:15" x14ac:dyDescent="0.3">
      <c r="A213" t="s">
        <v>1504</v>
      </c>
      <c r="B213">
        <v>8</v>
      </c>
      <c r="C213" s="1">
        <v>43829</v>
      </c>
      <c r="D213" t="s">
        <v>1505</v>
      </c>
      <c r="E213" t="s">
        <v>1506</v>
      </c>
      <c r="F213" t="s">
        <v>15</v>
      </c>
      <c r="G213" t="s">
        <v>369</v>
      </c>
      <c r="H213">
        <v>111</v>
      </c>
      <c r="I213">
        <v>2003</v>
      </c>
      <c r="J213" t="s">
        <v>676</v>
      </c>
      <c r="K213">
        <v>1172796</v>
      </c>
      <c r="L213" s="1">
        <v>37893</v>
      </c>
      <c r="M213" s="1" t="s">
        <v>3165</v>
      </c>
      <c r="N213" t="s">
        <v>189</v>
      </c>
      <c r="O213" t="s">
        <v>3149</v>
      </c>
    </row>
    <row r="214" spans="1:15" x14ac:dyDescent="0.3">
      <c r="A214" t="s">
        <v>1520</v>
      </c>
      <c r="B214">
        <v>6</v>
      </c>
      <c r="C214" s="1">
        <v>45271</v>
      </c>
      <c r="D214" t="s">
        <v>1521</v>
      </c>
      <c r="E214" t="s">
        <v>1522</v>
      </c>
      <c r="F214" t="s">
        <v>15</v>
      </c>
      <c r="G214" t="s">
        <v>56</v>
      </c>
      <c r="H214">
        <v>110</v>
      </c>
      <c r="I214">
        <v>2002</v>
      </c>
      <c r="J214" t="s">
        <v>42</v>
      </c>
      <c r="K214">
        <v>137378</v>
      </c>
      <c r="L214" s="1">
        <v>37605</v>
      </c>
      <c r="M214" s="1" t="s">
        <v>3171</v>
      </c>
      <c r="N214" t="s">
        <v>1523</v>
      </c>
      <c r="O214" t="s">
        <v>3149</v>
      </c>
    </row>
    <row r="215" spans="1:15" x14ac:dyDescent="0.3">
      <c r="A215" t="s">
        <v>1524</v>
      </c>
      <c r="B215">
        <v>6</v>
      </c>
      <c r="C215" s="1">
        <v>44890</v>
      </c>
      <c r="D215" t="s">
        <v>1525</v>
      </c>
      <c r="E215" t="s">
        <v>1526</v>
      </c>
      <c r="F215" t="s">
        <v>15</v>
      </c>
      <c r="G215" t="s">
        <v>35</v>
      </c>
      <c r="H215">
        <v>107</v>
      </c>
      <c r="I215">
        <v>2002</v>
      </c>
      <c r="J215" t="s">
        <v>17</v>
      </c>
      <c r="K215">
        <v>97046</v>
      </c>
      <c r="L215" s="1">
        <v>37267</v>
      </c>
      <c r="M215" s="1" t="s">
        <v>3165</v>
      </c>
      <c r="N215" t="s">
        <v>1527</v>
      </c>
      <c r="O215" t="s">
        <v>3149</v>
      </c>
    </row>
    <row r="216" spans="1:15" x14ac:dyDescent="0.3">
      <c r="A216" t="s">
        <v>1542</v>
      </c>
      <c r="B216">
        <v>6</v>
      </c>
      <c r="C216" s="1">
        <v>44828</v>
      </c>
      <c r="D216" t="s">
        <v>1543</v>
      </c>
      <c r="E216" t="s">
        <v>1544</v>
      </c>
      <c r="F216" t="s">
        <v>15</v>
      </c>
      <c r="G216" t="s">
        <v>29</v>
      </c>
      <c r="H216">
        <v>178</v>
      </c>
      <c r="I216">
        <v>2003</v>
      </c>
      <c r="J216" t="s">
        <v>325</v>
      </c>
      <c r="K216">
        <v>156676</v>
      </c>
      <c r="L216" s="1">
        <v>37760</v>
      </c>
      <c r="M216" s="1" t="s">
        <v>3188</v>
      </c>
      <c r="N216" t="s">
        <v>914</v>
      </c>
      <c r="O216" t="s">
        <v>3149</v>
      </c>
    </row>
    <row r="217" spans="1:15" x14ac:dyDescent="0.3">
      <c r="A217" t="s">
        <v>1549</v>
      </c>
      <c r="B217">
        <v>7</v>
      </c>
      <c r="C217" s="1">
        <v>44583</v>
      </c>
      <c r="D217" s="3" t="s">
        <v>1550</v>
      </c>
      <c r="E217" t="s">
        <v>1551</v>
      </c>
      <c r="F217" t="s">
        <v>15</v>
      </c>
      <c r="G217" t="s">
        <v>95</v>
      </c>
      <c r="H217">
        <v>111</v>
      </c>
      <c r="I217">
        <v>2002</v>
      </c>
      <c r="J217" t="s">
        <v>1552</v>
      </c>
      <c r="K217">
        <v>34000</v>
      </c>
      <c r="L217" s="1">
        <v>37264</v>
      </c>
      <c r="M217" s="1" t="s">
        <v>3155</v>
      </c>
      <c r="N217" t="s">
        <v>183</v>
      </c>
      <c r="O217" t="s">
        <v>3149</v>
      </c>
    </row>
    <row r="218" spans="1:15" x14ac:dyDescent="0.3">
      <c r="A218" t="s">
        <v>1579</v>
      </c>
      <c r="B218">
        <v>7</v>
      </c>
      <c r="C218" s="1">
        <v>44004</v>
      </c>
      <c r="D218" t="s">
        <v>1580</v>
      </c>
      <c r="E218" t="s">
        <v>1581</v>
      </c>
      <c r="F218" t="s">
        <v>15</v>
      </c>
      <c r="G218" t="s">
        <v>16</v>
      </c>
      <c r="H218">
        <v>97</v>
      </c>
      <c r="I218">
        <v>2002</v>
      </c>
      <c r="J218" t="s">
        <v>409</v>
      </c>
      <c r="K218">
        <v>145114</v>
      </c>
      <c r="L218" s="1">
        <v>37398</v>
      </c>
      <c r="M218" s="1" t="s">
        <v>3155</v>
      </c>
      <c r="N218" t="s">
        <v>118</v>
      </c>
      <c r="O218" t="s">
        <v>3149</v>
      </c>
    </row>
    <row r="219" spans="1:15" x14ac:dyDescent="0.3">
      <c r="A219" t="s">
        <v>1619</v>
      </c>
      <c r="B219">
        <v>7</v>
      </c>
      <c r="C219" s="1">
        <v>45199</v>
      </c>
      <c r="D219" t="s">
        <v>1620</v>
      </c>
      <c r="E219" t="s">
        <v>1621</v>
      </c>
      <c r="F219" t="s">
        <v>15</v>
      </c>
      <c r="G219" t="s">
        <v>16</v>
      </c>
      <c r="H219">
        <v>107</v>
      </c>
      <c r="I219">
        <v>2002</v>
      </c>
      <c r="J219" t="s">
        <v>42</v>
      </c>
      <c r="K219">
        <v>48699</v>
      </c>
      <c r="L219" s="1">
        <v>37501</v>
      </c>
      <c r="M219" s="1" t="s">
        <v>3165</v>
      </c>
      <c r="N219" t="s">
        <v>557</v>
      </c>
      <c r="O219" t="s">
        <v>3149</v>
      </c>
    </row>
    <row r="220" spans="1:15" x14ac:dyDescent="0.3">
      <c r="A220" t="s">
        <v>1622</v>
      </c>
      <c r="B220">
        <v>7</v>
      </c>
      <c r="C220" s="1">
        <v>45152</v>
      </c>
      <c r="D220" t="s">
        <v>1623</v>
      </c>
      <c r="E220" t="s">
        <v>1624</v>
      </c>
      <c r="F220" t="s">
        <v>15</v>
      </c>
      <c r="G220" t="s">
        <v>79</v>
      </c>
      <c r="H220">
        <v>113</v>
      </c>
      <c r="I220">
        <v>2002</v>
      </c>
      <c r="J220" t="s">
        <v>1625</v>
      </c>
      <c r="K220">
        <v>240471</v>
      </c>
      <c r="L220" s="1">
        <v>37600</v>
      </c>
      <c r="M220" s="1" t="s">
        <v>3165</v>
      </c>
      <c r="N220" t="s">
        <v>1626</v>
      </c>
      <c r="O220" t="s">
        <v>3149</v>
      </c>
    </row>
    <row r="221" spans="1:15" x14ac:dyDescent="0.3">
      <c r="A221" t="s">
        <v>1627</v>
      </c>
      <c r="B221">
        <v>7</v>
      </c>
      <c r="C221" s="1">
        <v>44994</v>
      </c>
      <c r="D221" t="s">
        <v>1628</v>
      </c>
      <c r="E221" t="s">
        <v>1629</v>
      </c>
      <c r="F221" t="s">
        <v>15</v>
      </c>
      <c r="G221" t="s">
        <v>84</v>
      </c>
      <c r="H221">
        <v>121</v>
      </c>
      <c r="I221">
        <v>2003</v>
      </c>
      <c r="J221" t="s">
        <v>17</v>
      </c>
      <c r="K221">
        <v>151374</v>
      </c>
      <c r="L221" s="1">
        <v>37661</v>
      </c>
      <c r="M221" s="1" t="s">
        <v>3180</v>
      </c>
      <c r="N221" t="s">
        <v>1630</v>
      </c>
      <c r="O221" t="s">
        <v>3149</v>
      </c>
    </row>
    <row r="222" spans="1:15" x14ac:dyDescent="0.3">
      <c r="A222" t="s">
        <v>1635</v>
      </c>
      <c r="B222">
        <v>6</v>
      </c>
      <c r="C222" s="1">
        <v>45212</v>
      </c>
      <c r="D222" t="s">
        <v>1636</v>
      </c>
      <c r="E222" t="s">
        <v>1637</v>
      </c>
      <c r="F222" t="s">
        <v>15</v>
      </c>
      <c r="G222" t="s">
        <v>73</v>
      </c>
      <c r="H222">
        <v>117</v>
      </c>
      <c r="I222">
        <v>2003</v>
      </c>
      <c r="J222" t="s">
        <v>24</v>
      </c>
      <c r="K222">
        <v>89056</v>
      </c>
      <c r="L222" s="1">
        <v>37974</v>
      </c>
      <c r="M222" s="1" t="s">
        <v>3165</v>
      </c>
      <c r="N222" t="s">
        <v>1638</v>
      </c>
      <c r="O222" t="s">
        <v>3149</v>
      </c>
    </row>
    <row r="223" spans="1:15" x14ac:dyDescent="0.3">
      <c r="A223" t="s">
        <v>1639</v>
      </c>
      <c r="B223">
        <v>6</v>
      </c>
      <c r="C223" s="1">
        <v>43692</v>
      </c>
      <c r="D223" t="s">
        <v>1640</v>
      </c>
      <c r="E223" t="s">
        <v>1641</v>
      </c>
      <c r="F223" t="s">
        <v>15</v>
      </c>
      <c r="G223" t="s">
        <v>1170</v>
      </c>
      <c r="H223">
        <v>90</v>
      </c>
      <c r="I223">
        <v>2003</v>
      </c>
      <c r="J223" t="s">
        <v>421</v>
      </c>
      <c r="K223">
        <v>179359</v>
      </c>
      <c r="L223" s="1">
        <v>37651</v>
      </c>
      <c r="M223" s="1" t="s">
        <v>3165</v>
      </c>
      <c r="N223" t="s">
        <v>422</v>
      </c>
      <c r="O223" t="s">
        <v>3149</v>
      </c>
    </row>
    <row r="224" spans="1:15" x14ac:dyDescent="0.3">
      <c r="A224" t="s">
        <v>1642</v>
      </c>
      <c r="B224">
        <v>7</v>
      </c>
      <c r="C224" s="1">
        <v>44175</v>
      </c>
      <c r="D224" t="s">
        <v>1643</v>
      </c>
      <c r="E224" t="s">
        <v>1644</v>
      </c>
      <c r="F224" t="s">
        <v>15</v>
      </c>
      <c r="G224" t="s">
        <v>198</v>
      </c>
      <c r="H224">
        <v>115</v>
      </c>
      <c r="I224">
        <v>2003</v>
      </c>
      <c r="J224" t="s">
        <v>42</v>
      </c>
      <c r="K224">
        <v>129236</v>
      </c>
      <c r="L224" s="1">
        <v>37865</v>
      </c>
      <c r="M224" s="1" t="s">
        <v>3155</v>
      </c>
      <c r="N224" t="s">
        <v>1645</v>
      </c>
      <c r="O224" t="s">
        <v>3149</v>
      </c>
    </row>
    <row r="225" spans="1:15" x14ac:dyDescent="0.3">
      <c r="A225" t="s">
        <v>1666</v>
      </c>
      <c r="B225">
        <v>5</v>
      </c>
      <c r="C225" s="1">
        <v>44826</v>
      </c>
      <c r="D225" t="s">
        <v>1667</v>
      </c>
      <c r="E225" t="s">
        <v>1668</v>
      </c>
      <c r="F225" t="s">
        <v>15</v>
      </c>
      <c r="G225" t="s">
        <v>1487</v>
      </c>
      <c r="H225">
        <v>152</v>
      </c>
      <c r="I225">
        <v>2002</v>
      </c>
      <c r="J225" t="s">
        <v>1023</v>
      </c>
      <c r="K225">
        <v>229</v>
      </c>
      <c r="L225" s="1">
        <v>37302</v>
      </c>
      <c r="M225" s="1" t="s">
        <v>3154</v>
      </c>
      <c r="N225" t="s">
        <v>822</v>
      </c>
      <c r="O225" t="s">
        <v>3149</v>
      </c>
    </row>
    <row r="226" spans="1:15" x14ac:dyDescent="0.3">
      <c r="A226" t="s">
        <v>1684</v>
      </c>
      <c r="B226">
        <v>5</v>
      </c>
      <c r="C226" s="1">
        <v>45138</v>
      </c>
      <c r="D226" t="s">
        <v>1685</v>
      </c>
      <c r="E226" t="s">
        <v>1686</v>
      </c>
      <c r="F226" t="s">
        <v>15</v>
      </c>
      <c r="G226" t="s">
        <v>61</v>
      </c>
      <c r="H226">
        <v>123</v>
      </c>
      <c r="I226">
        <v>2004</v>
      </c>
      <c r="J226" t="s">
        <v>42</v>
      </c>
      <c r="K226">
        <v>606952</v>
      </c>
      <c r="L226" s="1">
        <v>38127</v>
      </c>
      <c r="M226" s="1" t="s">
        <v>3165</v>
      </c>
      <c r="N226" t="s">
        <v>1687</v>
      </c>
      <c r="O226" t="s">
        <v>3149</v>
      </c>
    </row>
    <row r="227" spans="1:15" x14ac:dyDescent="0.3">
      <c r="A227" t="s">
        <v>1688</v>
      </c>
      <c r="B227">
        <v>7</v>
      </c>
      <c r="C227" s="1">
        <v>44435</v>
      </c>
      <c r="D227" t="s">
        <v>1689</v>
      </c>
      <c r="E227" t="s">
        <v>1690</v>
      </c>
      <c r="F227" t="s">
        <v>15</v>
      </c>
      <c r="G227" t="s">
        <v>84</v>
      </c>
      <c r="H227">
        <v>102</v>
      </c>
      <c r="I227">
        <v>2003</v>
      </c>
      <c r="J227" t="s">
        <v>261</v>
      </c>
      <c r="K227">
        <v>481124</v>
      </c>
      <c r="L227" s="1">
        <v>37862</v>
      </c>
      <c r="M227" s="1" t="s">
        <v>3165</v>
      </c>
      <c r="N227" t="s">
        <v>796</v>
      </c>
      <c r="O227" t="s">
        <v>3175</v>
      </c>
    </row>
    <row r="228" spans="1:15" x14ac:dyDescent="0.3">
      <c r="A228" t="s">
        <v>1695</v>
      </c>
      <c r="B228">
        <v>6</v>
      </c>
      <c r="C228" s="1">
        <v>43848</v>
      </c>
      <c r="D228" t="s">
        <v>1696</v>
      </c>
      <c r="E228" t="s">
        <v>1697</v>
      </c>
      <c r="F228" t="s">
        <v>15</v>
      </c>
      <c r="G228" t="s">
        <v>187</v>
      </c>
      <c r="H228">
        <v>108</v>
      </c>
      <c r="I228">
        <v>2004</v>
      </c>
      <c r="J228" t="s">
        <v>1113</v>
      </c>
      <c r="K228">
        <v>1059204</v>
      </c>
      <c r="L228" s="1">
        <v>38055</v>
      </c>
      <c r="M228" s="1" t="s">
        <v>3165</v>
      </c>
      <c r="N228" t="s">
        <v>1698</v>
      </c>
      <c r="O228" t="s">
        <v>3149</v>
      </c>
    </row>
    <row r="229" spans="1:15" x14ac:dyDescent="0.3">
      <c r="A229" t="s">
        <v>1699</v>
      </c>
      <c r="B229">
        <v>6</v>
      </c>
      <c r="C229" s="1">
        <v>44811</v>
      </c>
      <c r="D229" t="s">
        <v>1700</v>
      </c>
      <c r="E229" t="s">
        <v>1701</v>
      </c>
      <c r="F229" t="s">
        <v>15</v>
      </c>
      <c r="G229" t="s">
        <v>56</v>
      </c>
      <c r="H229">
        <v>170</v>
      </c>
      <c r="I229">
        <v>2004</v>
      </c>
      <c r="J229" t="s">
        <v>574</v>
      </c>
      <c r="K229">
        <v>379710</v>
      </c>
      <c r="L229" s="1">
        <v>38335</v>
      </c>
      <c r="M229" s="1" t="s">
        <v>3165</v>
      </c>
      <c r="N229" t="s">
        <v>371</v>
      </c>
      <c r="O229" t="s">
        <v>3149</v>
      </c>
    </row>
    <row r="230" spans="1:15" x14ac:dyDescent="0.3">
      <c r="A230" t="s">
        <v>1741</v>
      </c>
      <c r="B230">
        <v>7</v>
      </c>
      <c r="C230" s="1">
        <v>44821</v>
      </c>
      <c r="D230" t="s">
        <v>1742</v>
      </c>
      <c r="E230" t="s">
        <v>1743</v>
      </c>
      <c r="F230" t="s">
        <v>15</v>
      </c>
      <c r="G230" t="s">
        <v>73</v>
      </c>
      <c r="H230">
        <v>120</v>
      </c>
      <c r="I230">
        <v>2005</v>
      </c>
      <c r="J230" t="s">
        <v>1744</v>
      </c>
      <c r="K230">
        <v>529401</v>
      </c>
      <c r="L230" s="1">
        <v>38510</v>
      </c>
      <c r="M230" s="1" t="s">
        <v>3165</v>
      </c>
      <c r="N230" t="s">
        <v>1745</v>
      </c>
      <c r="O230" t="s">
        <v>3149</v>
      </c>
    </row>
    <row r="231" spans="1:15" x14ac:dyDescent="0.3">
      <c r="A231" t="s">
        <v>1753</v>
      </c>
      <c r="B231">
        <v>6</v>
      </c>
      <c r="C231" s="1">
        <v>44062</v>
      </c>
      <c r="D231" t="s">
        <v>1754</v>
      </c>
      <c r="E231" t="s">
        <v>1755</v>
      </c>
      <c r="F231" t="s">
        <v>15</v>
      </c>
      <c r="G231" t="s">
        <v>16</v>
      </c>
      <c r="H231">
        <v>114</v>
      </c>
      <c r="I231">
        <v>2013</v>
      </c>
      <c r="J231" t="s">
        <v>1756</v>
      </c>
      <c r="K231">
        <v>335321</v>
      </c>
      <c r="L231" s="1">
        <v>41552</v>
      </c>
      <c r="M231" s="1" t="s">
        <v>3165</v>
      </c>
      <c r="N231" t="s">
        <v>1757</v>
      </c>
      <c r="O231" t="s">
        <v>3149</v>
      </c>
    </row>
    <row r="232" spans="1:15" x14ac:dyDescent="0.3">
      <c r="A232" t="s">
        <v>1762</v>
      </c>
      <c r="B232">
        <v>9</v>
      </c>
      <c r="C232" s="1">
        <v>43824</v>
      </c>
      <c r="D232" t="s">
        <v>1763</v>
      </c>
      <c r="E232" t="s">
        <v>1764</v>
      </c>
      <c r="F232" t="s">
        <v>15</v>
      </c>
      <c r="G232" t="s">
        <v>927</v>
      </c>
      <c r="H232">
        <v>153</v>
      </c>
      <c r="I232">
        <v>2009</v>
      </c>
      <c r="J232" t="s">
        <v>111</v>
      </c>
      <c r="K232">
        <v>1550342</v>
      </c>
      <c r="L232" s="1">
        <v>39953</v>
      </c>
      <c r="M232" s="1" t="s">
        <v>3165</v>
      </c>
      <c r="N232" t="s">
        <v>189</v>
      </c>
      <c r="O232" t="s">
        <v>3149</v>
      </c>
    </row>
    <row r="233" spans="1:15" x14ac:dyDescent="0.3">
      <c r="A233" t="s">
        <v>1769</v>
      </c>
      <c r="B233">
        <v>8</v>
      </c>
      <c r="C233" s="1">
        <v>44652</v>
      </c>
      <c r="D233" t="s">
        <v>1770</v>
      </c>
      <c r="E233" t="s">
        <v>1771</v>
      </c>
      <c r="F233" t="s">
        <v>15</v>
      </c>
      <c r="G233" t="s">
        <v>369</v>
      </c>
      <c r="H233">
        <v>156</v>
      </c>
      <c r="I233">
        <v>2004</v>
      </c>
      <c r="J233" t="s">
        <v>1772</v>
      </c>
      <c r="K233">
        <v>370467</v>
      </c>
      <c r="L233" s="1">
        <v>38238</v>
      </c>
      <c r="M233" s="1" t="s">
        <v>3180</v>
      </c>
      <c r="N233" t="s">
        <v>1773</v>
      </c>
      <c r="O233" t="s">
        <v>3149</v>
      </c>
    </row>
    <row r="234" spans="1:15" x14ac:dyDescent="0.3">
      <c r="A234" t="s">
        <v>1789</v>
      </c>
      <c r="B234">
        <v>5</v>
      </c>
      <c r="C234" s="1">
        <v>45072</v>
      </c>
      <c r="D234" t="s">
        <v>1790</v>
      </c>
      <c r="E234" t="s">
        <v>1791</v>
      </c>
      <c r="F234" t="s">
        <v>15</v>
      </c>
      <c r="G234" t="s">
        <v>95</v>
      </c>
      <c r="H234">
        <v>96</v>
      </c>
      <c r="I234">
        <v>2004</v>
      </c>
      <c r="J234" t="s">
        <v>235</v>
      </c>
      <c r="K234">
        <v>233840</v>
      </c>
      <c r="L234" s="1">
        <v>38003</v>
      </c>
      <c r="M234" s="1" t="s">
        <v>3165</v>
      </c>
      <c r="N234" t="s">
        <v>1792</v>
      </c>
      <c r="O234" t="s">
        <v>3149</v>
      </c>
    </row>
    <row r="235" spans="1:15" x14ac:dyDescent="0.3">
      <c r="A235" t="s">
        <v>1793</v>
      </c>
      <c r="B235">
        <v>7</v>
      </c>
      <c r="C235" s="1">
        <v>44603</v>
      </c>
      <c r="D235" t="s">
        <v>1794</v>
      </c>
      <c r="E235" t="s">
        <v>1795</v>
      </c>
      <c r="F235" t="s">
        <v>15</v>
      </c>
      <c r="G235" t="s">
        <v>79</v>
      </c>
      <c r="H235">
        <v>104</v>
      </c>
      <c r="I235">
        <v>2004</v>
      </c>
      <c r="J235" t="s">
        <v>42</v>
      </c>
      <c r="K235">
        <v>233190</v>
      </c>
      <c r="L235" s="1">
        <v>38313</v>
      </c>
      <c r="M235" s="1" t="s">
        <v>3165</v>
      </c>
      <c r="N235" t="s">
        <v>1796</v>
      </c>
      <c r="O235" t="s">
        <v>3149</v>
      </c>
    </row>
    <row r="236" spans="1:15" x14ac:dyDescent="0.3">
      <c r="A236" t="s">
        <v>1805</v>
      </c>
      <c r="B236">
        <v>7</v>
      </c>
      <c r="C236" s="1">
        <v>43831</v>
      </c>
      <c r="D236" t="s">
        <v>1806</v>
      </c>
      <c r="E236" t="s">
        <v>1807</v>
      </c>
      <c r="F236" t="s">
        <v>15</v>
      </c>
      <c r="G236" t="s">
        <v>29</v>
      </c>
      <c r="H236">
        <v>137</v>
      </c>
      <c r="I236">
        <v>2004</v>
      </c>
      <c r="J236" t="s">
        <v>676</v>
      </c>
      <c r="K236">
        <v>792854</v>
      </c>
      <c r="L236" s="1">
        <v>38085</v>
      </c>
      <c r="M236" s="1" t="s">
        <v>3165</v>
      </c>
      <c r="N236" t="s">
        <v>189</v>
      </c>
      <c r="O236" t="s">
        <v>3149</v>
      </c>
    </row>
    <row r="237" spans="1:15" x14ac:dyDescent="0.3">
      <c r="A237" t="s">
        <v>1816</v>
      </c>
      <c r="B237">
        <v>7</v>
      </c>
      <c r="C237" s="1">
        <v>45026</v>
      </c>
      <c r="D237" t="s">
        <v>1817</v>
      </c>
      <c r="E237" t="s">
        <v>1818</v>
      </c>
      <c r="F237" t="s">
        <v>15</v>
      </c>
      <c r="G237" t="s">
        <v>334</v>
      </c>
      <c r="H237">
        <v>80</v>
      </c>
      <c r="I237">
        <v>2004</v>
      </c>
      <c r="J237" t="s">
        <v>42</v>
      </c>
      <c r="K237">
        <v>283067</v>
      </c>
      <c r="L237" s="1">
        <v>38027</v>
      </c>
      <c r="M237" s="1" t="s">
        <v>3165</v>
      </c>
      <c r="N237" t="s">
        <v>342</v>
      </c>
      <c r="O237" t="s">
        <v>3149</v>
      </c>
    </row>
    <row r="238" spans="1:15" x14ac:dyDescent="0.3">
      <c r="A238" t="s">
        <v>1823</v>
      </c>
      <c r="B238">
        <v>8</v>
      </c>
      <c r="C238" s="1">
        <v>45257</v>
      </c>
      <c r="D238" t="s">
        <v>1824</v>
      </c>
      <c r="E238" t="s">
        <v>1825</v>
      </c>
      <c r="F238" t="s">
        <v>15</v>
      </c>
      <c r="G238" t="s">
        <v>334</v>
      </c>
      <c r="H238">
        <v>111</v>
      </c>
      <c r="I238">
        <v>2007</v>
      </c>
      <c r="J238" t="s">
        <v>1826</v>
      </c>
      <c r="K238">
        <v>803303</v>
      </c>
      <c r="L238" s="1">
        <v>39255</v>
      </c>
      <c r="M238" s="1" t="s">
        <v>3165</v>
      </c>
      <c r="N238" t="s">
        <v>1827</v>
      </c>
      <c r="O238" t="s">
        <v>3149</v>
      </c>
    </row>
    <row r="239" spans="1:15" x14ac:dyDescent="0.3">
      <c r="A239" t="s">
        <v>1838</v>
      </c>
      <c r="B239">
        <v>7</v>
      </c>
      <c r="C239" s="1">
        <v>45146</v>
      </c>
      <c r="D239" t="s">
        <v>1839</v>
      </c>
      <c r="E239" t="s">
        <v>1840</v>
      </c>
      <c r="F239" t="s">
        <v>15</v>
      </c>
      <c r="G239" t="s">
        <v>84</v>
      </c>
      <c r="H239">
        <v>145</v>
      </c>
      <c r="I239">
        <v>2006</v>
      </c>
      <c r="J239" t="s">
        <v>1841</v>
      </c>
      <c r="K239">
        <v>79802</v>
      </c>
      <c r="L239" s="1">
        <v>38961</v>
      </c>
      <c r="M239" s="1" t="s">
        <v>3164</v>
      </c>
      <c r="N239" t="s">
        <v>179</v>
      </c>
      <c r="O239" t="s">
        <v>3149</v>
      </c>
    </row>
    <row r="240" spans="1:15" x14ac:dyDescent="0.3">
      <c r="A240" t="s">
        <v>1842</v>
      </c>
      <c r="B240">
        <v>3</v>
      </c>
      <c r="C240" s="1">
        <v>44123</v>
      </c>
      <c r="D240" t="s">
        <v>1843</v>
      </c>
      <c r="E240" t="s">
        <v>1844</v>
      </c>
      <c r="F240" t="s">
        <v>15</v>
      </c>
      <c r="G240" t="s">
        <v>158</v>
      </c>
      <c r="H240">
        <v>77</v>
      </c>
      <c r="I240">
        <v>2004</v>
      </c>
      <c r="J240" t="s">
        <v>1845</v>
      </c>
      <c r="K240">
        <v>112773</v>
      </c>
      <c r="L240" s="1">
        <v>38002</v>
      </c>
      <c r="M240" s="1" t="s">
        <v>3165</v>
      </c>
      <c r="N240" t="s">
        <v>1846</v>
      </c>
      <c r="O240" t="s">
        <v>3149</v>
      </c>
    </row>
    <row r="241" spans="1:15" x14ac:dyDescent="0.3">
      <c r="A241" t="s">
        <v>1869</v>
      </c>
      <c r="B241">
        <v>6</v>
      </c>
      <c r="C241" s="1">
        <v>44789</v>
      </c>
      <c r="D241" t="s">
        <v>1870</v>
      </c>
      <c r="E241" t="s">
        <v>1871</v>
      </c>
      <c r="F241" t="s">
        <v>15</v>
      </c>
      <c r="G241" t="s">
        <v>148</v>
      </c>
      <c r="H241">
        <v>106</v>
      </c>
      <c r="I241">
        <v>2005</v>
      </c>
      <c r="J241" t="s">
        <v>261</v>
      </c>
      <c r="K241">
        <v>59608</v>
      </c>
      <c r="L241" s="1">
        <v>38598</v>
      </c>
      <c r="M241" s="1" t="s">
        <v>3165</v>
      </c>
      <c r="N241" t="s">
        <v>1872</v>
      </c>
      <c r="O241" t="s">
        <v>3149</v>
      </c>
    </row>
    <row r="242" spans="1:15" x14ac:dyDescent="0.3">
      <c r="A242" t="s">
        <v>1878</v>
      </c>
      <c r="B242">
        <v>7</v>
      </c>
      <c r="C242" s="1">
        <v>45258</v>
      </c>
      <c r="D242" t="s">
        <v>1879</v>
      </c>
      <c r="E242" t="s">
        <v>1880</v>
      </c>
      <c r="F242" t="s">
        <v>708</v>
      </c>
      <c r="G242" t="s">
        <v>41</v>
      </c>
      <c r="H242">
        <v>71</v>
      </c>
      <c r="I242">
        <v>2003</v>
      </c>
      <c r="J242" t="s">
        <v>96</v>
      </c>
      <c r="K242">
        <v>76</v>
      </c>
      <c r="L242" s="1">
        <v>37986</v>
      </c>
      <c r="M242" s="1" t="s">
        <v>3191</v>
      </c>
      <c r="N242" t="s">
        <v>1881</v>
      </c>
      <c r="O242" t="s">
        <v>3149</v>
      </c>
    </row>
    <row r="243" spans="1:15" x14ac:dyDescent="0.3">
      <c r="A243" t="s">
        <v>1882</v>
      </c>
      <c r="B243">
        <v>7</v>
      </c>
      <c r="C243" s="1">
        <v>44939</v>
      </c>
      <c r="D243" t="s">
        <v>1883</v>
      </c>
      <c r="E243" t="s">
        <v>1884</v>
      </c>
      <c r="F243" t="s">
        <v>15</v>
      </c>
      <c r="G243" t="s">
        <v>23</v>
      </c>
      <c r="H243">
        <v>151</v>
      </c>
      <c r="I243">
        <v>2006</v>
      </c>
      <c r="J243" t="s">
        <v>123</v>
      </c>
      <c r="K243">
        <v>1399031</v>
      </c>
      <c r="L243" s="1">
        <v>38986</v>
      </c>
      <c r="M243" s="1" t="s">
        <v>3165</v>
      </c>
      <c r="N243" t="s">
        <v>371</v>
      </c>
      <c r="O243" t="s">
        <v>3149</v>
      </c>
    </row>
    <row r="244" spans="1:15" x14ac:dyDescent="0.3">
      <c r="A244" t="s">
        <v>1885</v>
      </c>
      <c r="B244">
        <v>6</v>
      </c>
      <c r="C244" s="1">
        <v>45179</v>
      </c>
      <c r="D244" t="s">
        <v>1886</v>
      </c>
      <c r="E244" t="s">
        <v>1887</v>
      </c>
      <c r="F244" t="s">
        <v>15</v>
      </c>
      <c r="G244" t="s">
        <v>79</v>
      </c>
      <c r="H244">
        <v>100</v>
      </c>
      <c r="I244">
        <v>2005</v>
      </c>
      <c r="J244" t="s">
        <v>261</v>
      </c>
      <c r="K244">
        <v>1709</v>
      </c>
      <c r="L244" s="1">
        <v>38400</v>
      </c>
      <c r="M244" s="1" t="s">
        <v>3201</v>
      </c>
      <c r="N244" t="s">
        <v>1888</v>
      </c>
      <c r="O244" t="s">
        <v>3149</v>
      </c>
    </row>
    <row r="245" spans="1:15" x14ac:dyDescent="0.3">
      <c r="A245" t="s">
        <v>1892</v>
      </c>
      <c r="B245">
        <v>6</v>
      </c>
      <c r="C245" s="1">
        <v>44037</v>
      </c>
      <c r="D245" t="s">
        <v>1893</v>
      </c>
      <c r="E245" t="s">
        <v>1894</v>
      </c>
      <c r="F245" t="s">
        <v>15</v>
      </c>
      <c r="G245" t="s">
        <v>198</v>
      </c>
      <c r="H245">
        <v>106</v>
      </c>
      <c r="I245">
        <v>2005</v>
      </c>
      <c r="J245" t="s">
        <v>1895</v>
      </c>
      <c r="K245">
        <v>106066</v>
      </c>
      <c r="L245" s="1">
        <v>38489</v>
      </c>
      <c r="M245" s="1" t="s">
        <v>3165</v>
      </c>
      <c r="N245" t="s">
        <v>1082</v>
      </c>
      <c r="O245" t="s">
        <v>3149</v>
      </c>
    </row>
    <row r="246" spans="1:15" x14ac:dyDescent="0.3">
      <c r="A246" t="s">
        <v>1896</v>
      </c>
      <c r="B246">
        <v>5</v>
      </c>
      <c r="C246" s="1">
        <v>45082</v>
      </c>
      <c r="D246" t="s">
        <v>1897</v>
      </c>
      <c r="E246" t="s">
        <v>1898</v>
      </c>
      <c r="F246" t="s">
        <v>15</v>
      </c>
      <c r="G246" t="s">
        <v>61</v>
      </c>
      <c r="H246">
        <v>129</v>
      </c>
      <c r="I246">
        <v>2005</v>
      </c>
      <c r="J246" t="s">
        <v>42</v>
      </c>
      <c r="K246">
        <v>322836</v>
      </c>
      <c r="L246" s="1">
        <v>38558</v>
      </c>
      <c r="M246" s="1" t="s">
        <v>3171</v>
      </c>
      <c r="N246" t="s">
        <v>1899</v>
      </c>
      <c r="O246" t="s">
        <v>3149</v>
      </c>
    </row>
    <row r="247" spans="1:15" x14ac:dyDescent="0.3">
      <c r="A247" t="s">
        <v>1900</v>
      </c>
      <c r="B247">
        <v>5</v>
      </c>
      <c r="C247" s="1">
        <v>43693</v>
      </c>
      <c r="D247" t="s">
        <v>1901</v>
      </c>
      <c r="E247" t="s">
        <v>1902</v>
      </c>
      <c r="F247" t="s">
        <v>15</v>
      </c>
      <c r="G247" t="s">
        <v>1008</v>
      </c>
      <c r="H247">
        <v>93</v>
      </c>
      <c r="I247">
        <v>2006</v>
      </c>
      <c r="J247" t="s">
        <v>421</v>
      </c>
      <c r="K247">
        <v>151764</v>
      </c>
      <c r="L247" s="1">
        <v>38750</v>
      </c>
      <c r="M247" s="1" t="s">
        <v>3165</v>
      </c>
      <c r="N247" t="s">
        <v>1201</v>
      </c>
      <c r="O247" t="s">
        <v>3149</v>
      </c>
    </row>
    <row r="248" spans="1:15" x14ac:dyDescent="0.3">
      <c r="A248" t="s">
        <v>1903</v>
      </c>
      <c r="B248">
        <v>6</v>
      </c>
      <c r="C248" s="1">
        <v>45013</v>
      </c>
      <c r="D248" t="s">
        <v>1904</v>
      </c>
      <c r="E248" t="s">
        <v>1905</v>
      </c>
      <c r="F248" t="s">
        <v>15</v>
      </c>
      <c r="G248" t="s">
        <v>79</v>
      </c>
      <c r="H248">
        <v>97</v>
      </c>
      <c r="I248">
        <v>2006</v>
      </c>
      <c r="J248" t="s">
        <v>1906</v>
      </c>
      <c r="K248">
        <v>247034</v>
      </c>
      <c r="L248" s="1">
        <v>38964</v>
      </c>
      <c r="M248" s="1" t="s">
        <v>3165</v>
      </c>
      <c r="N248" t="s">
        <v>760</v>
      </c>
      <c r="O248" t="s">
        <v>3149</v>
      </c>
    </row>
    <row r="249" spans="1:15" x14ac:dyDescent="0.3">
      <c r="A249" t="s">
        <v>1915</v>
      </c>
      <c r="B249">
        <v>7</v>
      </c>
      <c r="C249" s="1">
        <v>44961</v>
      </c>
      <c r="D249" t="s">
        <v>1916</v>
      </c>
      <c r="E249" t="s">
        <v>1917</v>
      </c>
      <c r="F249" t="s">
        <v>15</v>
      </c>
      <c r="G249" t="s">
        <v>198</v>
      </c>
      <c r="H249">
        <v>81</v>
      </c>
      <c r="I249">
        <v>2005</v>
      </c>
      <c r="J249" t="s">
        <v>24</v>
      </c>
      <c r="K249">
        <v>9207</v>
      </c>
      <c r="L249" s="1">
        <v>38488</v>
      </c>
      <c r="M249" s="1" t="s">
        <v>3155</v>
      </c>
      <c r="N249" t="s">
        <v>183</v>
      </c>
      <c r="O249" t="s">
        <v>3149</v>
      </c>
    </row>
    <row r="250" spans="1:15" x14ac:dyDescent="0.3">
      <c r="A250" t="s">
        <v>1922</v>
      </c>
      <c r="B250">
        <v>8</v>
      </c>
      <c r="C250" s="1">
        <v>44557</v>
      </c>
      <c r="D250" t="s">
        <v>1923</v>
      </c>
      <c r="E250" t="s">
        <v>1924</v>
      </c>
      <c r="F250" t="s">
        <v>15</v>
      </c>
      <c r="G250" t="s">
        <v>41</v>
      </c>
      <c r="H250">
        <v>122</v>
      </c>
      <c r="I250">
        <v>2007</v>
      </c>
      <c r="J250" t="s">
        <v>74</v>
      </c>
      <c r="K250">
        <v>67977</v>
      </c>
      <c r="L250" s="1">
        <v>39219</v>
      </c>
      <c r="M250" s="1" t="s">
        <v>3171</v>
      </c>
      <c r="N250" t="s">
        <v>1925</v>
      </c>
      <c r="O250" t="s">
        <v>3149</v>
      </c>
    </row>
    <row r="251" spans="1:15" x14ac:dyDescent="0.3">
      <c r="A251" t="s">
        <v>1926</v>
      </c>
      <c r="B251">
        <v>7</v>
      </c>
      <c r="C251" s="1">
        <v>44822</v>
      </c>
      <c r="D251" t="s">
        <v>1927</v>
      </c>
      <c r="E251" t="s">
        <v>1928</v>
      </c>
      <c r="F251" t="s">
        <v>15</v>
      </c>
      <c r="G251" t="s">
        <v>61</v>
      </c>
      <c r="H251">
        <v>166</v>
      </c>
      <c r="I251">
        <v>2008</v>
      </c>
      <c r="J251" t="s">
        <v>1028</v>
      </c>
      <c r="K251">
        <v>685651</v>
      </c>
      <c r="L251" s="1">
        <v>39792</v>
      </c>
      <c r="M251" s="1" t="s">
        <v>3165</v>
      </c>
      <c r="N251" t="s">
        <v>205</v>
      </c>
      <c r="O251" t="s">
        <v>3149</v>
      </c>
    </row>
    <row r="252" spans="1:15" x14ac:dyDescent="0.3">
      <c r="A252" t="s">
        <v>1929</v>
      </c>
      <c r="B252">
        <v>7</v>
      </c>
      <c r="C252" s="1">
        <v>44629</v>
      </c>
      <c r="D252" t="s">
        <v>1930</v>
      </c>
      <c r="E252" t="s">
        <v>1931</v>
      </c>
      <c r="F252" t="s">
        <v>15</v>
      </c>
      <c r="G252" t="s">
        <v>73</v>
      </c>
      <c r="H252">
        <v>123</v>
      </c>
      <c r="I252">
        <v>2006</v>
      </c>
      <c r="J252" t="s">
        <v>1850</v>
      </c>
      <c r="K252">
        <v>119357</v>
      </c>
      <c r="L252" s="1">
        <v>38861</v>
      </c>
      <c r="M252" s="1" t="s">
        <v>3165</v>
      </c>
      <c r="N252" t="s">
        <v>796</v>
      </c>
      <c r="O252" t="s">
        <v>3175</v>
      </c>
    </row>
    <row r="253" spans="1:15" x14ac:dyDescent="0.3">
      <c r="A253" t="s">
        <v>1940</v>
      </c>
      <c r="B253">
        <v>7</v>
      </c>
      <c r="C253" s="1">
        <v>44721</v>
      </c>
      <c r="D253" t="s">
        <v>1941</v>
      </c>
      <c r="E253" t="s">
        <v>1942</v>
      </c>
      <c r="F253" t="s">
        <v>15</v>
      </c>
      <c r="G253" t="s">
        <v>56</v>
      </c>
      <c r="H253">
        <v>92</v>
      </c>
      <c r="I253">
        <v>2005</v>
      </c>
      <c r="J253" t="s">
        <v>261</v>
      </c>
      <c r="K253">
        <v>227507</v>
      </c>
      <c r="L253" s="1">
        <v>38604</v>
      </c>
      <c r="M253" s="1" t="s">
        <v>3165</v>
      </c>
      <c r="N253" t="s">
        <v>1943</v>
      </c>
      <c r="O253" t="s">
        <v>3149</v>
      </c>
    </row>
    <row r="254" spans="1:15" x14ac:dyDescent="0.3">
      <c r="A254" t="s">
        <v>1949</v>
      </c>
      <c r="B254">
        <v>7</v>
      </c>
      <c r="C254" s="1">
        <v>45204</v>
      </c>
      <c r="D254" t="s">
        <v>1950</v>
      </c>
      <c r="E254" t="s">
        <v>1951</v>
      </c>
      <c r="F254" t="s">
        <v>15</v>
      </c>
      <c r="G254" t="s">
        <v>143</v>
      </c>
      <c r="H254">
        <v>87</v>
      </c>
      <c r="I254">
        <v>2009</v>
      </c>
      <c r="J254" t="s">
        <v>1952</v>
      </c>
      <c r="K254">
        <v>263434</v>
      </c>
      <c r="L254" s="1">
        <v>40100</v>
      </c>
      <c r="M254" s="1" t="s">
        <v>3165</v>
      </c>
      <c r="N254" t="s">
        <v>298</v>
      </c>
      <c r="O254" t="s">
        <v>3149</v>
      </c>
    </row>
    <row r="255" spans="1:15" x14ac:dyDescent="0.3">
      <c r="A255" t="s">
        <v>1975</v>
      </c>
      <c r="B255">
        <v>7</v>
      </c>
      <c r="C255" s="1">
        <v>44121</v>
      </c>
      <c r="D255" t="s">
        <v>1976</v>
      </c>
      <c r="E255" t="s">
        <v>1977</v>
      </c>
      <c r="F255" t="s">
        <v>15</v>
      </c>
      <c r="G255" t="s">
        <v>148</v>
      </c>
      <c r="H255">
        <v>84</v>
      </c>
      <c r="I255">
        <v>2006</v>
      </c>
      <c r="J255" t="s">
        <v>235</v>
      </c>
      <c r="K255">
        <v>435060</v>
      </c>
      <c r="L255" s="1">
        <v>38933</v>
      </c>
      <c r="M255" s="1" t="s">
        <v>3165</v>
      </c>
      <c r="N255" t="s">
        <v>1012</v>
      </c>
      <c r="O255" t="s">
        <v>3149</v>
      </c>
    </row>
    <row r="256" spans="1:15" x14ac:dyDescent="0.3">
      <c r="A256" t="s">
        <v>1978</v>
      </c>
      <c r="B256">
        <v>7</v>
      </c>
      <c r="C256" s="1">
        <v>45275</v>
      </c>
      <c r="D256" t="s">
        <v>1979</v>
      </c>
      <c r="E256" t="s">
        <v>1980</v>
      </c>
      <c r="F256" t="s">
        <v>15</v>
      </c>
      <c r="G256" t="s">
        <v>84</v>
      </c>
      <c r="H256">
        <v>157</v>
      </c>
      <c r="I256">
        <v>2007</v>
      </c>
      <c r="J256" t="s">
        <v>409</v>
      </c>
      <c r="K256">
        <v>585386</v>
      </c>
      <c r="L256" s="1">
        <v>39141</v>
      </c>
      <c r="M256" s="1" t="s">
        <v>3165</v>
      </c>
      <c r="N256" t="s">
        <v>205</v>
      </c>
      <c r="O256" t="s">
        <v>3149</v>
      </c>
    </row>
    <row r="257" spans="1:15" x14ac:dyDescent="0.3">
      <c r="A257" t="s">
        <v>1981</v>
      </c>
      <c r="B257">
        <v>5</v>
      </c>
      <c r="C257" s="1">
        <v>44592</v>
      </c>
      <c r="D257" t="s">
        <v>1982</v>
      </c>
      <c r="E257" t="s">
        <v>1983</v>
      </c>
      <c r="F257" t="s">
        <v>15</v>
      </c>
      <c r="G257" t="s">
        <v>67</v>
      </c>
      <c r="H257">
        <v>183</v>
      </c>
      <c r="I257">
        <v>2005</v>
      </c>
      <c r="J257" t="s">
        <v>42</v>
      </c>
      <c r="K257">
        <v>2965</v>
      </c>
      <c r="L257" s="1">
        <v>38598</v>
      </c>
      <c r="M257" s="1" t="s">
        <v>3155</v>
      </c>
      <c r="N257" t="s">
        <v>1441</v>
      </c>
      <c r="O257" t="s">
        <v>3149</v>
      </c>
    </row>
    <row r="258" spans="1:15" x14ac:dyDescent="0.3">
      <c r="A258" t="s">
        <v>1984</v>
      </c>
      <c r="B258">
        <v>7</v>
      </c>
      <c r="C258" s="1">
        <v>45142</v>
      </c>
      <c r="D258" t="s">
        <v>1985</v>
      </c>
      <c r="E258" t="s">
        <v>1986</v>
      </c>
      <c r="F258" t="s">
        <v>15</v>
      </c>
      <c r="G258" t="s">
        <v>41</v>
      </c>
      <c r="H258">
        <v>112</v>
      </c>
      <c r="I258">
        <v>2010</v>
      </c>
      <c r="J258" t="s">
        <v>1987</v>
      </c>
      <c r="K258">
        <v>458740</v>
      </c>
      <c r="L258" s="1">
        <v>40386</v>
      </c>
      <c r="M258" s="1" t="s">
        <v>3165</v>
      </c>
      <c r="N258" t="s">
        <v>1988</v>
      </c>
      <c r="O258" t="s">
        <v>3149</v>
      </c>
    </row>
    <row r="259" spans="1:15" x14ac:dyDescent="0.3">
      <c r="A259" t="s">
        <v>1989</v>
      </c>
      <c r="B259">
        <v>8</v>
      </c>
      <c r="C259" s="1">
        <v>44201</v>
      </c>
      <c r="D259" t="s">
        <v>1990</v>
      </c>
      <c r="E259" t="s">
        <v>1991</v>
      </c>
      <c r="F259" t="s">
        <v>15</v>
      </c>
      <c r="G259" t="s">
        <v>61</v>
      </c>
      <c r="H259">
        <v>101</v>
      </c>
      <c r="I259">
        <v>2006</v>
      </c>
      <c r="J259" t="s">
        <v>261</v>
      </c>
      <c r="K259">
        <v>509662</v>
      </c>
      <c r="L259" s="1">
        <v>38737</v>
      </c>
      <c r="M259" s="1" t="s">
        <v>3165</v>
      </c>
      <c r="N259" t="s">
        <v>1992</v>
      </c>
      <c r="O259" t="s">
        <v>3149</v>
      </c>
    </row>
    <row r="260" spans="1:15" x14ac:dyDescent="0.3">
      <c r="A260" t="s">
        <v>1993</v>
      </c>
      <c r="B260">
        <v>7</v>
      </c>
      <c r="C260" s="1">
        <v>44918</v>
      </c>
      <c r="D260" t="s">
        <v>1994</v>
      </c>
      <c r="E260" t="s">
        <v>1995</v>
      </c>
      <c r="F260" t="s">
        <v>15</v>
      </c>
      <c r="G260" t="s">
        <v>41</v>
      </c>
      <c r="H260">
        <v>140</v>
      </c>
      <c r="I260">
        <v>2007</v>
      </c>
      <c r="J260" t="s">
        <v>1301</v>
      </c>
      <c r="K260">
        <v>90075</v>
      </c>
      <c r="L260" s="1">
        <v>39121</v>
      </c>
      <c r="M260" s="1" t="s">
        <v>3155</v>
      </c>
      <c r="N260" t="s">
        <v>1996</v>
      </c>
      <c r="O260" t="s">
        <v>3149</v>
      </c>
    </row>
    <row r="261" spans="1:15" x14ac:dyDescent="0.3">
      <c r="A261" t="s">
        <v>2004</v>
      </c>
      <c r="B261">
        <v>7</v>
      </c>
      <c r="C261" s="1">
        <v>45203</v>
      </c>
      <c r="D261" t="s">
        <v>2005</v>
      </c>
      <c r="E261" t="s">
        <v>2006</v>
      </c>
      <c r="F261" t="s">
        <v>15</v>
      </c>
      <c r="G261" t="s">
        <v>369</v>
      </c>
      <c r="H261">
        <v>118</v>
      </c>
      <c r="I261">
        <v>2006</v>
      </c>
      <c r="J261" t="s">
        <v>2007</v>
      </c>
      <c r="K261">
        <v>695273</v>
      </c>
      <c r="L261" s="1">
        <v>38864</v>
      </c>
      <c r="M261" s="1" t="s">
        <v>3172</v>
      </c>
      <c r="N261" t="s">
        <v>2008</v>
      </c>
      <c r="O261" t="s">
        <v>3149</v>
      </c>
    </row>
    <row r="262" spans="1:15" x14ac:dyDescent="0.3">
      <c r="A262" t="s">
        <v>2041</v>
      </c>
      <c r="B262">
        <v>8</v>
      </c>
      <c r="C262" s="1">
        <v>43689</v>
      </c>
      <c r="D262" t="s">
        <v>2042</v>
      </c>
      <c r="E262" t="s">
        <v>2043</v>
      </c>
      <c r="F262" t="s">
        <v>15</v>
      </c>
      <c r="G262" t="s">
        <v>2044</v>
      </c>
      <c r="H262">
        <v>95</v>
      </c>
      <c r="I262">
        <v>2006</v>
      </c>
      <c r="J262" t="s">
        <v>2045</v>
      </c>
      <c r="K262">
        <v>19757</v>
      </c>
      <c r="L262" s="1">
        <v>38908</v>
      </c>
      <c r="M262" s="1" t="s">
        <v>3180</v>
      </c>
      <c r="N262" t="s">
        <v>2046</v>
      </c>
      <c r="O262" t="s">
        <v>3149</v>
      </c>
    </row>
    <row r="263" spans="1:15" x14ac:dyDescent="0.3">
      <c r="A263" t="s">
        <v>2059</v>
      </c>
      <c r="B263">
        <v>7</v>
      </c>
      <c r="C263" s="1">
        <v>44203</v>
      </c>
      <c r="D263" t="s">
        <v>2060</v>
      </c>
      <c r="E263" t="s">
        <v>2061</v>
      </c>
      <c r="F263" t="s">
        <v>15</v>
      </c>
      <c r="G263" t="s">
        <v>23</v>
      </c>
      <c r="H263">
        <v>130</v>
      </c>
      <c r="I263">
        <v>2006</v>
      </c>
      <c r="J263" t="s">
        <v>1423</v>
      </c>
      <c r="K263">
        <v>1415721</v>
      </c>
      <c r="L263" s="1">
        <v>39007</v>
      </c>
      <c r="M263" s="1" t="s">
        <v>3165</v>
      </c>
      <c r="N263" t="s">
        <v>756</v>
      </c>
      <c r="O263" t="s">
        <v>3149</v>
      </c>
    </row>
    <row r="264" spans="1:15" x14ac:dyDescent="0.3">
      <c r="A264" t="s">
        <v>2076</v>
      </c>
      <c r="B264">
        <v>6</v>
      </c>
      <c r="C264" s="1">
        <v>45140</v>
      </c>
      <c r="D264" t="s">
        <v>2077</v>
      </c>
      <c r="E264" t="s">
        <v>2078</v>
      </c>
      <c r="F264" t="s">
        <v>15</v>
      </c>
      <c r="G264" t="s">
        <v>79</v>
      </c>
      <c r="H264">
        <v>113</v>
      </c>
      <c r="I264">
        <v>2007</v>
      </c>
      <c r="J264" t="s">
        <v>123</v>
      </c>
      <c r="K264">
        <v>215942</v>
      </c>
      <c r="L264" s="1">
        <v>39183</v>
      </c>
      <c r="M264" s="1" t="s">
        <v>3165</v>
      </c>
      <c r="N264" t="s">
        <v>2079</v>
      </c>
      <c r="O264" t="s">
        <v>3149</v>
      </c>
    </row>
    <row r="265" spans="1:15" x14ac:dyDescent="0.3">
      <c r="A265" t="s">
        <v>2092</v>
      </c>
      <c r="B265">
        <v>6</v>
      </c>
      <c r="C265" s="1">
        <v>44958</v>
      </c>
      <c r="D265" t="s">
        <v>2093</v>
      </c>
      <c r="E265" t="s">
        <v>2094</v>
      </c>
      <c r="F265" t="s">
        <v>15</v>
      </c>
      <c r="G265" t="s">
        <v>198</v>
      </c>
      <c r="H265">
        <v>96</v>
      </c>
      <c r="I265">
        <v>2008</v>
      </c>
      <c r="J265" t="s">
        <v>17</v>
      </c>
      <c r="K265">
        <v>266572</v>
      </c>
      <c r="L265" s="1">
        <v>39585</v>
      </c>
      <c r="M265" s="1" t="s">
        <v>3165</v>
      </c>
      <c r="N265" t="s">
        <v>977</v>
      </c>
      <c r="O265" t="s">
        <v>3149</v>
      </c>
    </row>
    <row r="266" spans="1:15" x14ac:dyDescent="0.3">
      <c r="A266" t="s">
        <v>2095</v>
      </c>
      <c r="B266">
        <v>5</v>
      </c>
      <c r="C266" s="1">
        <v>43690</v>
      </c>
      <c r="D266" t="s">
        <v>2096</v>
      </c>
      <c r="E266" t="s">
        <v>2097</v>
      </c>
      <c r="F266" t="s">
        <v>15</v>
      </c>
      <c r="G266" t="s">
        <v>143</v>
      </c>
      <c r="H266">
        <v>162</v>
      </c>
      <c r="I266">
        <v>2009</v>
      </c>
      <c r="J266" t="s">
        <v>2098</v>
      </c>
      <c r="K266">
        <v>1369783</v>
      </c>
      <c r="L266" s="1">
        <v>40157</v>
      </c>
      <c r="M266" s="1" t="s">
        <v>3165</v>
      </c>
      <c r="N266" t="s">
        <v>2099</v>
      </c>
      <c r="O266" t="s">
        <v>3149</v>
      </c>
    </row>
    <row r="267" spans="1:15" x14ac:dyDescent="0.3">
      <c r="A267" t="s">
        <v>2596</v>
      </c>
      <c r="B267">
        <v>9</v>
      </c>
      <c r="C267" s="1">
        <v>44915</v>
      </c>
      <c r="D267" t="s">
        <v>2597</v>
      </c>
      <c r="E267" t="s">
        <v>2598</v>
      </c>
      <c r="F267" t="s">
        <v>15</v>
      </c>
      <c r="G267" t="s">
        <v>524</v>
      </c>
      <c r="H267">
        <v>95</v>
      </c>
      <c r="I267">
        <v>2007</v>
      </c>
      <c r="J267" t="s">
        <v>42</v>
      </c>
      <c r="K267">
        <v>56173</v>
      </c>
      <c r="L267" s="1">
        <v>39218</v>
      </c>
      <c r="M267" s="1" t="s">
        <v>3207</v>
      </c>
      <c r="N267" t="s">
        <v>293</v>
      </c>
      <c r="O267" t="s">
        <v>3149</v>
      </c>
    </row>
    <row r="268" spans="1:15" x14ac:dyDescent="0.3">
      <c r="A268" t="s">
        <v>2609</v>
      </c>
      <c r="B268">
        <v>7</v>
      </c>
      <c r="C268" s="1">
        <v>44600</v>
      </c>
      <c r="D268" t="s">
        <v>2610</v>
      </c>
      <c r="E268" t="s">
        <v>2611</v>
      </c>
      <c r="F268" t="s">
        <v>15</v>
      </c>
      <c r="G268" t="s">
        <v>116</v>
      </c>
      <c r="H268">
        <v>92</v>
      </c>
      <c r="I268">
        <v>2006</v>
      </c>
      <c r="J268" t="s">
        <v>42</v>
      </c>
      <c r="K268">
        <v>4178</v>
      </c>
      <c r="L268" s="1">
        <v>38862</v>
      </c>
      <c r="M268" s="1" t="s">
        <v>3155</v>
      </c>
      <c r="N268" t="s">
        <v>620</v>
      </c>
      <c r="O268" t="s">
        <v>3149</v>
      </c>
    </row>
    <row r="269" spans="1:15" x14ac:dyDescent="0.3">
      <c r="A269" t="s">
        <v>2643</v>
      </c>
      <c r="B269">
        <v>8</v>
      </c>
      <c r="C269" s="1">
        <v>44200</v>
      </c>
      <c r="D269" t="s">
        <v>2644</v>
      </c>
      <c r="E269" t="s">
        <v>2645</v>
      </c>
      <c r="F269" t="s">
        <v>15</v>
      </c>
      <c r="G269" t="s">
        <v>61</v>
      </c>
      <c r="H269">
        <v>100</v>
      </c>
      <c r="I269">
        <v>2011</v>
      </c>
      <c r="J269" t="s">
        <v>2646</v>
      </c>
      <c r="K269">
        <v>692299</v>
      </c>
      <c r="L269" s="1">
        <v>40683</v>
      </c>
      <c r="M269" s="1" t="s">
        <v>3165</v>
      </c>
      <c r="N269" t="s">
        <v>972</v>
      </c>
      <c r="O269" t="s">
        <v>3149</v>
      </c>
    </row>
    <row r="270" spans="1:15" x14ac:dyDescent="0.3">
      <c r="A270" t="s">
        <v>2647</v>
      </c>
      <c r="B270">
        <v>8</v>
      </c>
      <c r="C270" s="1">
        <v>43861</v>
      </c>
      <c r="D270" t="s">
        <v>2648</v>
      </c>
      <c r="E270" t="s">
        <v>2649</v>
      </c>
      <c r="F270" t="s">
        <v>15</v>
      </c>
      <c r="G270" t="s">
        <v>143</v>
      </c>
      <c r="H270">
        <v>107</v>
      </c>
      <c r="I270">
        <v>2008</v>
      </c>
      <c r="J270" t="s">
        <v>2650</v>
      </c>
      <c r="K270">
        <v>455406</v>
      </c>
      <c r="L270" s="1">
        <v>39464</v>
      </c>
      <c r="M270" s="1" t="s">
        <v>3171</v>
      </c>
      <c r="N270" t="s">
        <v>496</v>
      </c>
      <c r="O270" t="s">
        <v>3149</v>
      </c>
    </row>
    <row r="271" spans="1:15" x14ac:dyDescent="0.3">
      <c r="A271" t="s">
        <v>2654</v>
      </c>
      <c r="B271">
        <v>9</v>
      </c>
      <c r="C271" s="1">
        <v>44787</v>
      </c>
      <c r="D271" t="s">
        <v>2655</v>
      </c>
      <c r="E271" t="s">
        <v>2656</v>
      </c>
      <c r="F271" t="s">
        <v>15</v>
      </c>
      <c r="G271" t="s">
        <v>61</v>
      </c>
      <c r="H271">
        <v>123</v>
      </c>
      <c r="I271">
        <v>2007</v>
      </c>
      <c r="J271" t="s">
        <v>2657</v>
      </c>
      <c r="K271">
        <v>295287</v>
      </c>
      <c r="L271" s="1">
        <v>39322</v>
      </c>
      <c r="M271" s="1" t="s">
        <v>3171</v>
      </c>
      <c r="N271" t="s">
        <v>1899</v>
      </c>
      <c r="O271" t="s">
        <v>3149</v>
      </c>
    </row>
    <row r="272" spans="1:15" x14ac:dyDescent="0.3">
      <c r="A272" t="s">
        <v>2658</v>
      </c>
      <c r="B272">
        <v>6</v>
      </c>
      <c r="C272" s="1">
        <v>44608</v>
      </c>
      <c r="D272" t="s">
        <v>2659</v>
      </c>
      <c r="E272" t="s">
        <v>2660</v>
      </c>
      <c r="F272" t="s">
        <v>47</v>
      </c>
      <c r="G272" t="s">
        <v>158</v>
      </c>
      <c r="H272">
        <v>30</v>
      </c>
      <c r="I272">
        <v>2006</v>
      </c>
      <c r="J272" t="s">
        <v>297</v>
      </c>
      <c r="K272">
        <v>843</v>
      </c>
      <c r="L272" s="1">
        <v>38862</v>
      </c>
      <c r="M272" s="1" t="s">
        <v>3155</v>
      </c>
      <c r="N272" t="s">
        <v>183</v>
      </c>
      <c r="O272" t="s">
        <v>3149</v>
      </c>
    </row>
    <row r="273" spans="1:15" x14ac:dyDescent="0.3">
      <c r="A273" t="s">
        <v>2665</v>
      </c>
      <c r="B273">
        <v>6</v>
      </c>
      <c r="C273" s="1">
        <v>43957</v>
      </c>
      <c r="D273" t="s">
        <v>2666</v>
      </c>
      <c r="E273" t="s">
        <v>2667</v>
      </c>
      <c r="F273" t="s">
        <v>15</v>
      </c>
      <c r="G273" t="s">
        <v>79</v>
      </c>
      <c r="H273">
        <v>108</v>
      </c>
      <c r="I273">
        <v>2015</v>
      </c>
      <c r="J273" t="s">
        <v>574</v>
      </c>
      <c r="K273">
        <v>61092</v>
      </c>
      <c r="L273" s="1">
        <v>42264</v>
      </c>
      <c r="M273" s="1" t="s">
        <v>3171</v>
      </c>
      <c r="N273" t="s">
        <v>2668</v>
      </c>
      <c r="O273" t="s">
        <v>3149</v>
      </c>
    </row>
    <row r="274" spans="1:15" x14ac:dyDescent="0.3">
      <c r="A274" t="s">
        <v>2695</v>
      </c>
      <c r="B274">
        <v>4</v>
      </c>
      <c r="C274" s="1">
        <v>45223</v>
      </c>
      <c r="D274" t="s">
        <v>2696</v>
      </c>
      <c r="E274" t="s">
        <v>2697</v>
      </c>
      <c r="F274" t="s">
        <v>15</v>
      </c>
      <c r="G274" t="s">
        <v>73</v>
      </c>
      <c r="H274">
        <v>108</v>
      </c>
      <c r="I274">
        <v>2008</v>
      </c>
      <c r="J274" t="s">
        <v>2015</v>
      </c>
      <c r="K274">
        <v>267395</v>
      </c>
      <c r="L274" s="1">
        <v>39629</v>
      </c>
      <c r="M274" s="1" t="s">
        <v>3165</v>
      </c>
      <c r="N274" t="s">
        <v>2698</v>
      </c>
      <c r="O274" t="s">
        <v>3175</v>
      </c>
    </row>
    <row r="275" spans="1:15" x14ac:dyDescent="0.3">
      <c r="A275" t="s">
        <v>2710</v>
      </c>
      <c r="B275">
        <v>7</v>
      </c>
      <c r="C275" s="1">
        <v>45165</v>
      </c>
      <c r="D275" t="s">
        <v>2711</v>
      </c>
      <c r="E275" t="s">
        <v>2712</v>
      </c>
      <c r="F275" t="s">
        <v>15</v>
      </c>
      <c r="G275" t="s">
        <v>16</v>
      </c>
      <c r="H275">
        <v>106</v>
      </c>
      <c r="I275">
        <v>2007</v>
      </c>
      <c r="J275" t="s">
        <v>17</v>
      </c>
      <c r="K275">
        <v>153190</v>
      </c>
      <c r="L275" s="1">
        <v>39341</v>
      </c>
      <c r="M275" s="1" t="s">
        <v>3165</v>
      </c>
      <c r="N275" t="s">
        <v>1665</v>
      </c>
      <c r="O275" t="s">
        <v>3149</v>
      </c>
    </row>
    <row r="276" spans="1:15" x14ac:dyDescent="0.3">
      <c r="A276" t="s">
        <v>2723</v>
      </c>
      <c r="B276">
        <v>7</v>
      </c>
      <c r="C276" s="1">
        <v>45182</v>
      </c>
      <c r="D276" t="s">
        <v>2724</v>
      </c>
      <c r="E276" t="s">
        <v>2725</v>
      </c>
      <c r="F276" t="s">
        <v>15</v>
      </c>
      <c r="G276" t="s">
        <v>29</v>
      </c>
      <c r="H276">
        <v>96</v>
      </c>
      <c r="I276">
        <v>2007</v>
      </c>
      <c r="J276" t="s">
        <v>2726</v>
      </c>
      <c r="K276">
        <v>99117</v>
      </c>
      <c r="L276" s="1">
        <v>39225</v>
      </c>
      <c r="M276" s="1" t="s">
        <v>3155</v>
      </c>
      <c r="N276" t="s">
        <v>2727</v>
      </c>
    </row>
    <row r="277" spans="1:15" x14ac:dyDescent="0.3">
      <c r="A277" t="s">
        <v>2728</v>
      </c>
      <c r="B277">
        <v>6</v>
      </c>
      <c r="C277" s="1">
        <v>45277</v>
      </c>
      <c r="D277" t="s">
        <v>2729</v>
      </c>
      <c r="E277" t="s">
        <v>2730</v>
      </c>
      <c r="F277" t="s">
        <v>15</v>
      </c>
      <c r="G277" t="s">
        <v>16</v>
      </c>
      <c r="H277">
        <v>89</v>
      </c>
      <c r="I277">
        <v>2006</v>
      </c>
      <c r="J277" t="s">
        <v>261</v>
      </c>
      <c r="K277">
        <v>8025</v>
      </c>
      <c r="L277" s="1">
        <v>38861</v>
      </c>
      <c r="M277" s="1" t="s">
        <v>3212</v>
      </c>
      <c r="N277" t="s">
        <v>2731</v>
      </c>
      <c r="O277" t="s">
        <v>3149</v>
      </c>
    </row>
    <row r="278" spans="1:15" x14ac:dyDescent="0.3">
      <c r="A278" t="s">
        <v>2736</v>
      </c>
      <c r="B278">
        <v>7</v>
      </c>
      <c r="C278" s="1">
        <v>44646</v>
      </c>
      <c r="D278" t="s">
        <v>2737</v>
      </c>
      <c r="E278" t="s">
        <v>2738</v>
      </c>
      <c r="F278" t="s">
        <v>15</v>
      </c>
      <c r="G278" t="s">
        <v>198</v>
      </c>
      <c r="H278">
        <v>119</v>
      </c>
      <c r="I278">
        <v>2015</v>
      </c>
      <c r="J278" t="s">
        <v>672</v>
      </c>
      <c r="K278">
        <v>197145</v>
      </c>
      <c r="L278" s="1">
        <v>42252</v>
      </c>
      <c r="M278" s="1" t="s">
        <v>3165</v>
      </c>
      <c r="N278" t="s">
        <v>2739</v>
      </c>
      <c r="O278" t="s">
        <v>3149</v>
      </c>
    </row>
    <row r="279" spans="1:15" x14ac:dyDescent="0.3">
      <c r="A279" t="s">
        <v>2796</v>
      </c>
      <c r="B279">
        <v>6</v>
      </c>
      <c r="C279" s="1">
        <v>45093</v>
      </c>
      <c r="D279" t="s">
        <v>2797</v>
      </c>
      <c r="E279" t="s">
        <v>2798</v>
      </c>
      <c r="F279" t="s">
        <v>15</v>
      </c>
      <c r="G279" t="s">
        <v>79</v>
      </c>
      <c r="H279">
        <v>91</v>
      </c>
      <c r="I279">
        <v>2007</v>
      </c>
      <c r="J279" t="s">
        <v>1959</v>
      </c>
      <c r="K279">
        <v>214151</v>
      </c>
      <c r="L279" s="1">
        <v>39325</v>
      </c>
      <c r="M279" s="1" t="s">
        <v>3165</v>
      </c>
      <c r="N279" t="s">
        <v>298</v>
      </c>
      <c r="O279" t="s">
        <v>3149</v>
      </c>
    </row>
    <row r="280" spans="1:15" x14ac:dyDescent="0.3">
      <c r="A280" t="s">
        <v>2803</v>
      </c>
      <c r="B280">
        <v>5</v>
      </c>
      <c r="C280" s="1">
        <v>44649</v>
      </c>
      <c r="D280" t="s">
        <v>2804</v>
      </c>
      <c r="E280" t="s">
        <v>2805</v>
      </c>
      <c r="F280" t="s">
        <v>15</v>
      </c>
      <c r="G280" t="s">
        <v>116</v>
      </c>
      <c r="H280">
        <v>90</v>
      </c>
      <c r="I280">
        <v>2009</v>
      </c>
      <c r="J280" t="s">
        <v>421</v>
      </c>
      <c r="K280">
        <v>71037</v>
      </c>
      <c r="L280" s="1">
        <v>40025</v>
      </c>
      <c r="M280" s="1" t="s">
        <v>3165</v>
      </c>
      <c r="N280" t="s">
        <v>2806</v>
      </c>
      <c r="O280" t="s">
        <v>3149</v>
      </c>
    </row>
    <row r="281" spans="1:15" x14ac:dyDescent="0.3">
      <c r="A281" t="s">
        <v>2807</v>
      </c>
      <c r="B281">
        <v>5</v>
      </c>
      <c r="C281" s="1">
        <v>43826</v>
      </c>
      <c r="D281" t="s">
        <v>2808</v>
      </c>
      <c r="E281" t="s">
        <v>2809</v>
      </c>
      <c r="F281" t="s">
        <v>15</v>
      </c>
      <c r="G281" t="s">
        <v>2810</v>
      </c>
      <c r="H281">
        <v>85</v>
      </c>
      <c r="I281">
        <v>2008</v>
      </c>
      <c r="J281" t="s">
        <v>738</v>
      </c>
      <c r="K281">
        <v>3945</v>
      </c>
      <c r="L281" s="1">
        <v>39597</v>
      </c>
      <c r="M281" s="1" t="s">
        <v>3165</v>
      </c>
      <c r="N281" t="s">
        <v>2811</v>
      </c>
      <c r="O281" t="s">
        <v>3149</v>
      </c>
    </row>
    <row r="282" spans="1:15" x14ac:dyDescent="0.3">
      <c r="A282" t="s">
        <v>2872</v>
      </c>
      <c r="B282">
        <v>7</v>
      </c>
      <c r="C282" s="1">
        <v>44907</v>
      </c>
      <c r="D282" t="s">
        <v>2873</v>
      </c>
      <c r="E282" t="s">
        <v>2874</v>
      </c>
      <c r="F282" t="s">
        <v>15</v>
      </c>
      <c r="G282" t="s">
        <v>73</v>
      </c>
      <c r="H282">
        <v>108</v>
      </c>
      <c r="I282">
        <v>2009</v>
      </c>
      <c r="J282" t="s">
        <v>1162</v>
      </c>
      <c r="K282">
        <v>134456</v>
      </c>
      <c r="L282" s="1">
        <v>39951</v>
      </c>
      <c r="M282" s="1" t="s">
        <v>3188</v>
      </c>
      <c r="N282" t="s">
        <v>914</v>
      </c>
      <c r="O282" t="s">
        <v>3149</v>
      </c>
    </row>
    <row r="283" spans="1:15" x14ac:dyDescent="0.3">
      <c r="A283" t="s">
        <v>2896</v>
      </c>
      <c r="B283">
        <v>5</v>
      </c>
      <c r="C283" s="1">
        <v>44957</v>
      </c>
      <c r="D283" t="s">
        <v>2897</v>
      </c>
      <c r="E283" t="s">
        <v>2898</v>
      </c>
      <c r="F283" t="s">
        <v>15</v>
      </c>
      <c r="G283" t="s">
        <v>95</v>
      </c>
      <c r="H283">
        <v>122</v>
      </c>
      <c r="I283">
        <v>2007</v>
      </c>
      <c r="J283" t="s">
        <v>389</v>
      </c>
      <c r="K283">
        <v>17257</v>
      </c>
      <c r="L283" s="1">
        <v>39342</v>
      </c>
      <c r="M283" s="1" t="s">
        <v>3166</v>
      </c>
      <c r="N283" t="s">
        <v>2137</v>
      </c>
      <c r="O283" t="s">
        <v>3149</v>
      </c>
    </row>
    <row r="284" spans="1:15" x14ac:dyDescent="0.3">
      <c r="A284" t="s">
        <v>2920</v>
      </c>
      <c r="B284">
        <v>6</v>
      </c>
      <c r="C284" s="1">
        <v>44995</v>
      </c>
      <c r="D284" t="s">
        <v>2921</v>
      </c>
      <c r="E284" t="s">
        <v>2922</v>
      </c>
      <c r="F284" t="s">
        <v>15</v>
      </c>
      <c r="G284" t="s">
        <v>95</v>
      </c>
      <c r="H284">
        <v>96</v>
      </c>
      <c r="I284">
        <v>2008</v>
      </c>
      <c r="J284" t="s">
        <v>2650</v>
      </c>
      <c r="K284">
        <v>348507</v>
      </c>
      <c r="L284" s="1">
        <v>39687</v>
      </c>
      <c r="M284" s="1" t="s">
        <v>3165</v>
      </c>
      <c r="N284" t="s">
        <v>448</v>
      </c>
      <c r="O284" t="s">
        <v>3149</v>
      </c>
    </row>
    <row r="285" spans="1:15" x14ac:dyDescent="0.3">
      <c r="A285" t="s">
        <v>2957</v>
      </c>
      <c r="B285">
        <v>7</v>
      </c>
      <c r="C285" s="1">
        <v>45252</v>
      </c>
      <c r="D285" t="s">
        <v>2958</v>
      </c>
      <c r="E285" t="s">
        <v>2959</v>
      </c>
      <c r="F285" t="s">
        <v>15</v>
      </c>
      <c r="G285" t="s">
        <v>927</v>
      </c>
      <c r="H285">
        <v>98</v>
      </c>
      <c r="I285">
        <v>2008</v>
      </c>
      <c r="J285" t="s">
        <v>2960</v>
      </c>
      <c r="K285">
        <v>1179491</v>
      </c>
      <c r="L285" s="1">
        <v>39620</v>
      </c>
      <c r="M285" s="1" t="s">
        <v>3165</v>
      </c>
      <c r="N285" t="s">
        <v>2961</v>
      </c>
      <c r="O285" t="s">
        <v>3149</v>
      </c>
    </row>
    <row r="286" spans="1:15" x14ac:dyDescent="0.3">
      <c r="A286" t="s">
        <v>2972</v>
      </c>
      <c r="B286">
        <v>7</v>
      </c>
      <c r="C286" s="1">
        <v>45164</v>
      </c>
      <c r="D286" t="s">
        <v>2973</v>
      </c>
      <c r="E286" t="s">
        <v>2974</v>
      </c>
      <c r="F286" t="s">
        <v>15</v>
      </c>
      <c r="G286" t="s">
        <v>84</v>
      </c>
      <c r="H286">
        <v>94</v>
      </c>
      <c r="I286">
        <v>2008</v>
      </c>
      <c r="J286" t="s">
        <v>193</v>
      </c>
      <c r="K286">
        <v>239853</v>
      </c>
      <c r="L286" s="1">
        <v>39688</v>
      </c>
      <c r="M286" s="1" t="s">
        <v>3171</v>
      </c>
      <c r="N286" t="s">
        <v>2975</v>
      </c>
      <c r="O286" t="s">
        <v>3149</v>
      </c>
    </row>
    <row r="287" spans="1:15" x14ac:dyDescent="0.3">
      <c r="A287" t="s">
        <v>2999</v>
      </c>
      <c r="B287">
        <v>6</v>
      </c>
      <c r="C287" s="1">
        <v>44441</v>
      </c>
      <c r="D287" t="s">
        <v>3000</v>
      </c>
      <c r="E287" t="s">
        <v>3001</v>
      </c>
      <c r="F287" t="s">
        <v>551</v>
      </c>
      <c r="G287" t="s">
        <v>23</v>
      </c>
      <c r="H287">
        <v>56</v>
      </c>
      <c r="I287">
        <v>2007</v>
      </c>
      <c r="J287" t="s">
        <v>235</v>
      </c>
      <c r="K287">
        <v>8977</v>
      </c>
      <c r="L287" s="1">
        <v>39095</v>
      </c>
      <c r="M287" s="1" t="s">
        <v>3165</v>
      </c>
      <c r="N287" t="s">
        <v>3002</v>
      </c>
      <c r="O287" t="s">
        <v>3149</v>
      </c>
    </row>
    <row r="288" spans="1:15" x14ac:dyDescent="0.3">
      <c r="A288" t="s">
        <v>3038</v>
      </c>
      <c r="B288">
        <v>8</v>
      </c>
      <c r="C288" s="1">
        <v>44886</v>
      </c>
      <c r="D288" t="s">
        <v>3039</v>
      </c>
      <c r="E288" t="s">
        <v>3040</v>
      </c>
      <c r="F288" t="s">
        <v>15</v>
      </c>
      <c r="G288" t="s">
        <v>29</v>
      </c>
      <c r="H288">
        <v>108</v>
      </c>
      <c r="I288">
        <v>2010</v>
      </c>
      <c r="J288" t="s">
        <v>117</v>
      </c>
      <c r="K288">
        <v>810610</v>
      </c>
      <c r="L288" s="1">
        <v>40422</v>
      </c>
      <c r="M288" s="1" t="s">
        <v>3165</v>
      </c>
      <c r="N288" t="s">
        <v>760</v>
      </c>
      <c r="O288" t="s">
        <v>3149</v>
      </c>
    </row>
    <row r="289" spans="1:15" x14ac:dyDescent="0.3">
      <c r="A289" t="s">
        <v>3067</v>
      </c>
      <c r="B289">
        <v>8</v>
      </c>
      <c r="C289" s="1">
        <v>44664</v>
      </c>
      <c r="D289" t="s">
        <v>3068</v>
      </c>
      <c r="E289" t="s">
        <v>3069</v>
      </c>
      <c r="F289" t="s">
        <v>15</v>
      </c>
      <c r="G289" t="s">
        <v>16</v>
      </c>
      <c r="H289">
        <v>119</v>
      </c>
      <c r="I289">
        <v>2008</v>
      </c>
      <c r="J289" t="s">
        <v>42</v>
      </c>
      <c r="K289">
        <v>222657</v>
      </c>
      <c r="L289" s="1">
        <v>39797</v>
      </c>
      <c r="M289" s="1" t="s">
        <v>3165</v>
      </c>
      <c r="N289" t="s">
        <v>1048</v>
      </c>
      <c r="O289" t="s">
        <v>3149</v>
      </c>
    </row>
    <row r="290" spans="1:15" x14ac:dyDescent="0.3">
      <c r="A290" t="s">
        <v>3091</v>
      </c>
      <c r="B290">
        <v>6</v>
      </c>
      <c r="C290" s="1">
        <v>45015</v>
      </c>
      <c r="D290" t="s">
        <v>3092</v>
      </c>
      <c r="E290" t="s">
        <v>3093</v>
      </c>
      <c r="F290" t="s">
        <v>15</v>
      </c>
      <c r="G290" t="s">
        <v>56</v>
      </c>
      <c r="H290">
        <v>126</v>
      </c>
      <c r="I290">
        <v>2011</v>
      </c>
      <c r="J290" t="s">
        <v>3094</v>
      </c>
      <c r="K290">
        <v>334221</v>
      </c>
      <c r="L290" s="1">
        <v>40826</v>
      </c>
      <c r="M290" s="1" t="s">
        <v>3165</v>
      </c>
      <c r="N290" t="s">
        <v>371</v>
      </c>
      <c r="O290" t="s">
        <v>3149</v>
      </c>
    </row>
    <row r="291" spans="1:15" x14ac:dyDescent="0.3">
      <c r="A291" t="s">
        <v>3095</v>
      </c>
      <c r="B291">
        <v>7</v>
      </c>
      <c r="C291" s="1">
        <v>43822</v>
      </c>
      <c r="D291" t="s">
        <v>3096</v>
      </c>
      <c r="E291" t="s">
        <v>3097</v>
      </c>
      <c r="F291" t="s">
        <v>15</v>
      </c>
      <c r="G291" t="s">
        <v>95</v>
      </c>
      <c r="H291">
        <v>92</v>
      </c>
      <c r="I291">
        <v>2008</v>
      </c>
      <c r="J291" t="s">
        <v>225</v>
      </c>
      <c r="K291">
        <v>29535</v>
      </c>
      <c r="L291" s="1">
        <v>39514</v>
      </c>
      <c r="M291" s="1" t="s">
        <v>3165</v>
      </c>
      <c r="N291" t="s">
        <v>3098</v>
      </c>
      <c r="O291" t="s">
        <v>3149</v>
      </c>
    </row>
    <row r="292" spans="1:15" x14ac:dyDescent="0.3">
      <c r="A292" t="s">
        <v>3106</v>
      </c>
      <c r="B292">
        <v>8</v>
      </c>
      <c r="C292" s="1">
        <v>44446</v>
      </c>
      <c r="D292" t="s">
        <v>3107</v>
      </c>
      <c r="E292" t="s">
        <v>3108</v>
      </c>
      <c r="F292" t="s">
        <v>15</v>
      </c>
      <c r="G292" t="s">
        <v>41</v>
      </c>
      <c r="H292">
        <v>124</v>
      </c>
      <c r="I292">
        <v>2008</v>
      </c>
      <c r="J292" t="s">
        <v>335</v>
      </c>
      <c r="K292">
        <v>256349</v>
      </c>
      <c r="L292" s="1">
        <v>39792</v>
      </c>
      <c r="M292" s="1" t="s">
        <v>3165</v>
      </c>
      <c r="N292" t="s">
        <v>1523</v>
      </c>
      <c r="O292" t="s">
        <v>3149</v>
      </c>
    </row>
    <row r="293" spans="1:15" x14ac:dyDescent="0.3">
      <c r="A293" t="s">
        <v>3135</v>
      </c>
      <c r="B293">
        <v>8</v>
      </c>
      <c r="C293" s="1">
        <v>43896</v>
      </c>
      <c r="D293" t="s">
        <v>3136</v>
      </c>
      <c r="E293" t="s">
        <v>3137</v>
      </c>
      <c r="F293" t="s">
        <v>15</v>
      </c>
      <c r="G293" t="s">
        <v>369</v>
      </c>
      <c r="H293">
        <v>180</v>
      </c>
      <c r="I293">
        <v>2013</v>
      </c>
      <c r="J293" t="s">
        <v>2555</v>
      </c>
      <c r="K293">
        <v>1542173</v>
      </c>
      <c r="L293" s="1">
        <v>41617</v>
      </c>
      <c r="M293" s="1" t="s">
        <v>3165</v>
      </c>
      <c r="N293" t="s">
        <v>371</v>
      </c>
      <c r="O293" t="s">
        <v>3149</v>
      </c>
    </row>
    <row r="294" spans="1:15" x14ac:dyDescent="0.3">
      <c r="A294" t="s">
        <v>3138</v>
      </c>
      <c r="B294">
        <v>6</v>
      </c>
      <c r="C294" s="1">
        <v>44716</v>
      </c>
      <c r="D294" t="s">
        <v>3139</v>
      </c>
      <c r="E294" t="s">
        <v>3140</v>
      </c>
      <c r="F294" t="s">
        <v>15</v>
      </c>
      <c r="G294" t="s">
        <v>95</v>
      </c>
      <c r="H294">
        <v>91</v>
      </c>
      <c r="I294">
        <v>2007</v>
      </c>
      <c r="J294" t="s">
        <v>1228</v>
      </c>
      <c r="K294">
        <v>10013</v>
      </c>
      <c r="L294" s="1">
        <v>39220</v>
      </c>
      <c r="M294" s="1" t="s">
        <v>3155</v>
      </c>
      <c r="N294" t="s">
        <v>620</v>
      </c>
      <c r="O294" t="s">
        <v>3149</v>
      </c>
    </row>
    <row r="295" spans="1:15" x14ac:dyDescent="0.3">
      <c r="A295" t="s">
        <v>19</v>
      </c>
      <c r="B295">
        <v>8</v>
      </c>
      <c r="C295" s="1">
        <v>44216</v>
      </c>
      <c r="D295" t="s">
        <v>20</v>
      </c>
      <c r="E295" t="s">
        <v>21</v>
      </c>
      <c r="F295" t="s">
        <v>22</v>
      </c>
      <c r="G295" t="s">
        <v>23</v>
      </c>
      <c r="H295">
        <v>397</v>
      </c>
      <c r="I295">
        <v>2020</v>
      </c>
      <c r="J295" t="s">
        <v>24</v>
      </c>
      <c r="K295">
        <v>528211</v>
      </c>
      <c r="L295" s="1">
        <v>44127</v>
      </c>
      <c r="M295" s="1" t="s">
        <v>3165</v>
      </c>
      <c r="N295" t="s">
        <v>3187</v>
      </c>
      <c r="O295" t="s">
        <v>3149</v>
      </c>
    </row>
    <row r="296" spans="1:15" x14ac:dyDescent="0.3">
      <c r="A296" t="s">
        <v>26</v>
      </c>
      <c r="B296">
        <v>8</v>
      </c>
      <c r="C296" s="1">
        <v>43582</v>
      </c>
      <c r="D296" t="s">
        <v>27</v>
      </c>
      <c r="E296" t="s">
        <v>28</v>
      </c>
      <c r="F296" t="s">
        <v>15</v>
      </c>
      <c r="G296" t="s">
        <v>29</v>
      </c>
      <c r="H296">
        <v>120</v>
      </c>
      <c r="I296">
        <v>2008</v>
      </c>
      <c r="J296" t="s">
        <v>30</v>
      </c>
      <c r="K296">
        <v>870302</v>
      </c>
      <c r="L296" s="1">
        <v>39690</v>
      </c>
      <c r="M296" s="1" t="s">
        <v>3198</v>
      </c>
      <c r="N296" t="s">
        <v>31</v>
      </c>
    </row>
    <row r="297" spans="1:15" x14ac:dyDescent="0.3">
      <c r="A297" t="s">
        <v>44</v>
      </c>
      <c r="B297">
        <v>8</v>
      </c>
      <c r="C297" s="1">
        <v>44450</v>
      </c>
      <c r="D297" t="s">
        <v>45</v>
      </c>
      <c r="E297" t="s">
        <v>46</v>
      </c>
      <c r="F297" t="s">
        <v>47</v>
      </c>
      <c r="G297" t="s">
        <v>25</v>
      </c>
      <c r="H297">
        <v>29</v>
      </c>
      <c r="I297">
        <v>2019</v>
      </c>
      <c r="J297" t="s">
        <v>48</v>
      </c>
      <c r="L297" s="1">
        <v>43548</v>
      </c>
      <c r="M297" s="1" t="s">
        <v>3154</v>
      </c>
      <c r="N297" t="s">
        <v>3224</v>
      </c>
      <c r="O297" t="s">
        <v>3149</v>
      </c>
    </row>
    <row r="298" spans="1:15" x14ac:dyDescent="0.3">
      <c r="A298" t="s">
        <v>49</v>
      </c>
      <c r="B298">
        <v>8</v>
      </c>
      <c r="C298" s="1">
        <v>45083</v>
      </c>
      <c r="D298" t="s">
        <v>50</v>
      </c>
      <c r="E298" t="s">
        <v>51</v>
      </c>
      <c r="F298" t="s">
        <v>47</v>
      </c>
      <c r="G298" t="s">
        <v>29</v>
      </c>
      <c r="H298">
        <v>23</v>
      </c>
      <c r="I298">
        <v>2019</v>
      </c>
      <c r="J298" t="s">
        <v>48</v>
      </c>
      <c r="K298">
        <v>25</v>
      </c>
      <c r="L298" s="1">
        <v>43547</v>
      </c>
      <c r="M298" s="1" t="s">
        <v>3154</v>
      </c>
      <c r="N298" t="s">
        <v>52</v>
      </c>
      <c r="O298" t="s">
        <v>3149</v>
      </c>
    </row>
    <row r="299" spans="1:15" x14ac:dyDescent="0.3">
      <c r="A299" t="s">
        <v>58</v>
      </c>
      <c r="B299">
        <v>8</v>
      </c>
      <c r="C299" s="1">
        <v>44865</v>
      </c>
      <c r="D299" t="s">
        <v>59</v>
      </c>
      <c r="E299" t="s">
        <v>60</v>
      </c>
      <c r="F299" t="s">
        <v>15</v>
      </c>
      <c r="G299" t="s">
        <v>61</v>
      </c>
      <c r="H299">
        <v>148</v>
      </c>
      <c r="I299">
        <v>2022</v>
      </c>
      <c r="J299" t="s">
        <v>62</v>
      </c>
      <c r="K299">
        <v>232724</v>
      </c>
      <c r="L299" s="1">
        <v>44816</v>
      </c>
      <c r="M299" s="1" t="s">
        <v>3180</v>
      </c>
      <c r="N299" t="s">
        <v>63</v>
      </c>
      <c r="O299" t="s">
        <v>3149</v>
      </c>
    </row>
    <row r="300" spans="1:15" x14ac:dyDescent="0.3">
      <c r="A300" t="s">
        <v>64</v>
      </c>
      <c r="B300">
        <v>7</v>
      </c>
      <c r="C300" s="1">
        <v>44920</v>
      </c>
      <c r="D300" t="s">
        <v>65</v>
      </c>
      <c r="E300" t="s">
        <v>66</v>
      </c>
      <c r="F300" t="s">
        <v>15</v>
      </c>
      <c r="G300" t="s">
        <v>67</v>
      </c>
      <c r="H300">
        <v>131</v>
      </c>
      <c r="I300">
        <v>2022</v>
      </c>
      <c r="J300" t="s">
        <v>68</v>
      </c>
      <c r="K300">
        <v>53799</v>
      </c>
      <c r="L300" s="1">
        <v>44806</v>
      </c>
      <c r="M300" s="1" t="s">
        <v>3165</v>
      </c>
      <c r="N300" t="s">
        <v>69</v>
      </c>
      <c r="O300" t="s">
        <v>3149</v>
      </c>
    </row>
    <row r="301" spans="1:15" x14ac:dyDescent="0.3">
      <c r="A301" t="s">
        <v>70</v>
      </c>
      <c r="B301">
        <v>6</v>
      </c>
      <c r="C301" s="1">
        <v>44047</v>
      </c>
      <c r="D301" t="s">
        <v>71</v>
      </c>
      <c r="E301" t="s">
        <v>72</v>
      </c>
      <c r="F301" t="s">
        <v>15</v>
      </c>
      <c r="G301" t="s">
        <v>73</v>
      </c>
      <c r="H301">
        <v>106</v>
      </c>
      <c r="I301">
        <v>2010</v>
      </c>
      <c r="J301" t="s">
        <v>74</v>
      </c>
      <c r="K301">
        <v>50593</v>
      </c>
      <c r="L301" s="1">
        <v>40202</v>
      </c>
      <c r="M301" s="1" t="s">
        <v>3165</v>
      </c>
      <c r="N301" t="s">
        <v>75</v>
      </c>
      <c r="O301" t="s">
        <v>3175</v>
      </c>
    </row>
    <row r="302" spans="1:15" x14ac:dyDescent="0.3">
      <c r="A302" t="s">
        <v>87</v>
      </c>
      <c r="B302">
        <v>8</v>
      </c>
      <c r="C302" s="1">
        <v>44496</v>
      </c>
      <c r="D302" t="s">
        <v>88</v>
      </c>
      <c r="E302" t="s">
        <v>89</v>
      </c>
      <c r="F302" t="s">
        <v>47</v>
      </c>
      <c r="G302" t="s">
        <v>16</v>
      </c>
      <c r="H302">
        <v>14</v>
      </c>
      <c r="I302">
        <v>2019</v>
      </c>
      <c r="J302" t="s">
        <v>90</v>
      </c>
      <c r="K302">
        <v>90</v>
      </c>
      <c r="L302" s="1">
        <v>43504</v>
      </c>
      <c r="M302" s="1" t="s">
        <v>3154</v>
      </c>
      <c r="N302" t="s">
        <v>91</v>
      </c>
      <c r="O302" t="s">
        <v>3149</v>
      </c>
    </row>
    <row r="303" spans="1:15" x14ac:dyDescent="0.3">
      <c r="A303" t="s">
        <v>92</v>
      </c>
      <c r="B303">
        <v>6</v>
      </c>
      <c r="C303" s="1">
        <v>44976</v>
      </c>
      <c r="D303" t="s">
        <v>93</v>
      </c>
      <c r="E303" t="s">
        <v>94</v>
      </c>
      <c r="F303" t="s">
        <v>15</v>
      </c>
      <c r="G303" t="s">
        <v>95</v>
      </c>
      <c r="H303">
        <v>79</v>
      </c>
      <c r="I303">
        <v>2010</v>
      </c>
      <c r="J303" t="s">
        <v>96</v>
      </c>
      <c r="K303">
        <v>7401</v>
      </c>
      <c r="L303" s="1">
        <v>40305</v>
      </c>
      <c r="M303" s="1" t="s">
        <v>3155</v>
      </c>
      <c r="N303" t="s">
        <v>97</v>
      </c>
      <c r="O303" t="s">
        <v>3149</v>
      </c>
    </row>
    <row r="304" spans="1:15" x14ac:dyDescent="0.3">
      <c r="A304" t="s">
        <v>98</v>
      </c>
      <c r="B304">
        <v>7</v>
      </c>
      <c r="C304" s="1">
        <v>44005</v>
      </c>
      <c r="D304" t="s">
        <v>99</v>
      </c>
      <c r="E304" t="s">
        <v>100</v>
      </c>
      <c r="F304" t="s">
        <v>15</v>
      </c>
      <c r="G304" t="s">
        <v>84</v>
      </c>
      <c r="H304">
        <v>95</v>
      </c>
      <c r="I304">
        <v>2009</v>
      </c>
      <c r="J304" t="s">
        <v>17</v>
      </c>
      <c r="K304">
        <v>547312</v>
      </c>
      <c r="L304" s="1">
        <v>39830</v>
      </c>
      <c r="M304" s="1" t="s">
        <v>3165</v>
      </c>
      <c r="N304" t="s">
        <v>101</v>
      </c>
      <c r="O304" t="s">
        <v>3149</v>
      </c>
    </row>
    <row r="305" spans="1:15" x14ac:dyDescent="0.3">
      <c r="A305" t="s">
        <v>102</v>
      </c>
      <c r="B305">
        <v>6</v>
      </c>
      <c r="C305" s="1">
        <v>44425</v>
      </c>
      <c r="D305" t="s">
        <v>103</v>
      </c>
      <c r="E305" t="s">
        <v>104</v>
      </c>
      <c r="F305" t="s">
        <v>15</v>
      </c>
      <c r="G305" t="s">
        <v>105</v>
      </c>
      <c r="H305">
        <v>100</v>
      </c>
      <c r="I305">
        <v>2020</v>
      </c>
      <c r="J305" t="s">
        <v>106</v>
      </c>
      <c r="K305">
        <v>109</v>
      </c>
      <c r="L305" s="1">
        <v>44113</v>
      </c>
      <c r="M305" s="1" t="s">
        <v>3154</v>
      </c>
      <c r="N305" t="s">
        <v>107</v>
      </c>
      <c r="O305" t="s">
        <v>3149</v>
      </c>
    </row>
    <row r="306" spans="1:15" x14ac:dyDescent="0.3">
      <c r="A306" t="s">
        <v>108</v>
      </c>
      <c r="B306">
        <v>7</v>
      </c>
      <c r="C306" s="1">
        <v>44892</v>
      </c>
      <c r="D306" t="s">
        <v>109</v>
      </c>
      <c r="E306" t="s">
        <v>110</v>
      </c>
      <c r="F306" t="s">
        <v>15</v>
      </c>
      <c r="G306" t="s">
        <v>67</v>
      </c>
      <c r="H306">
        <v>126</v>
      </c>
      <c r="I306">
        <v>2022</v>
      </c>
      <c r="J306" t="s">
        <v>111</v>
      </c>
      <c r="K306">
        <v>25642</v>
      </c>
      <c r="L306" s="1">
        <v>44817</v>
      </c>
      <c r="M306" s="1" t="s">
        <v>3165</v>
      </c>
      <c r="N306" t="s">
        <v>112</v>
      </c>
      <c r="O306" t="s">
        <v>3149</v>
      </c>
    </row>
    <row r="307" spans="1:15" x14ac:dyDescent="0.3">
      <c r="A307" t="s">
        <v>113</v>
      </c>
      <c r="B307">
        <v>6</v>
      </c>
      <c r="C307" s="1">
        <v>44898</v>
      </c>
      <c r="D307" t="s">
        <v>114</v>
      </c>
      <c r="E307" t="s">
        <v>115</v>
      </c>
      <c r="F307" t="s">
        <v>15</v>
      </c>
      <c r="G307" t="s">
        <v>116</v>
      </c>
      <c r="H307">
        <v>51</v>
      </c>
      <c r="I307">
        <v>2019</v>
      </c>
      <c r="J307" t="s">
        <v>117</v>
      </c>
      <c r="K307">
        <v>7066</v>
      </c>
      <c r="L307" s="1">
        <v>43603</v>
      </c>
      <c r="M307" s="1" t="s">
        <v>3155</v>
      </c>
      <c r="N307" t="s">
        <v>118</v>
      </c>
      <c r="O307" t="s">
        <v>3149</v>
      </c>
    </row>
    <row r="308" spans="1:15" x14ac:dyDescent="0.3">
      <c r="A308" t="s">
        <v>125</v>
      </c>
      <c r="B308">
        <v>6</v>
      </c>
      <c r="C308" s="1">
        <v>44558</v>
      </c>
      <c r="D308" t="s">
        <v>126</v>
      </c>
      <c r="E308" t="s">
        <v>127</v>
      </c>
      <c r="F308" t="s">
        <v>15</v>
      </c>
      <c r="G308" t="s">
        <v>67</v>
      </c>
      <c r="H308">
        <v>126</v>
      </c>
      <c r="I308">
        <v>2021</v>
      </c>
      <c r="J308" t="s">
        <v>128</v>
      </c>
      <c r="K308">
        <v>190009</v>
      </c>
      <c r="L308" s="1">
        <v>44441</v>
      </c>
      <c r="M308" s="1" t="s">
        <v>3171</v>
      </c>
      <c r="N308" t="s">
        <v>129</v>
      </c>
      <c r="O308" t="s">
        <v>3175</v>
      </c>
    </row>
    <row r="309" spans="1:15" x14ac:dyDescent="0.3">
      <c r="A309" t="s">
        <v>130</v>
      </c>
      <c r="B309">
        <v>6</v>
      </c>
      <c r="C309" s="1">
        <v>44949</v>
      </c>
      <c r="D309" t="s">
        <v>131</v>
      </c>
      <c r="E309" t="s">
        <v>132</v>
      </c>
      <c r="F309" t="s">
        <v>15</v>
      </c>
      <c r="G309" t="s">
        <v>105</v>
      </c>
      <c r="H309">
        <v>134</v>
      </c>
      <c r="I309">
        <v>2022</v>
      </c>
      <c r="J309" t="s">
        <v>133</v>
      </c>
      <c r="K309">
        <v>88291</v>
      </c>
      <c r="L309" s="1">
        <v>44822</v>
      </c>
      <c r="M309" s="1" t="s">
        <v>3165</v>
      </c>
      <c r="N309" t="s">
        <v>134</v>
      </c>
      <c r="O309" t="s">
        <v>3149</v>
      </c>
    </row>
    <row r="310" spans="1:15" x14ac:dyDescent="0.3">
      <c r="A310" t="s">
        <v>140</v>
      </c>
      <c r="B310">
        <v>7</v>
      </c>
      <c r="C310" s="1">
        <v>45029</v>
      </c>
      <c r="D310" s="3" t="s">
        <v>141</v>
      </c>
      <c r="E310" t="s">
        <v>142</v>
      </c>
      <c r="F310" t="s">
        <v>15</v>
      </c>
      <c r="G310" t="s">
        <v>143</v>
      </c>
      <c r="H310">
        <v>113</v>
      </c>
      <c r="I310">
        <v>2007</v>
      </c>
      <c r="J310" t="s">
        <v>24</v>
      </c>
      <c r="K310">
        <v>62803</v>
      </c>
      <c r="L310" s="1">
        <v>39219</v>
      </c>
      <c r="M310" s="1" t="s">
        <v>3212</v>
      </c>
      <c r="N310" t="s">
        <v>144</v>
      </c>
      <c r="O310" t="s">
        <v>3149</v>
      </c>
    </row>
    <row r="311" spans="1:15" x14ac:dyDescent="0.3">
      <c r="A311" t="s">
        <v>145</v>
      </c>
      <c r="B311">
        <v>7</v>
      </c>
      <c r="C311" s="1">
        <v>44496</v>
      </c>
      <c r="D311" t="s">
        <v>146</v>
      </c>
      <c r="E311" t="s">
        <v>147</v>
      </c>
      <c r="F311" t="s">
        <v>47</v>
      </c>
      <c r="G311" t="s">
        <v>148</v>
      </c>
      <c r="H311">
        <v>5</v>
      </c>
      <c r="I311">
        <v>2019</v>
      </c>
      <c r="J311" t="s">
        <v>90</v>
      </c>
      <c r="K311">
        <v>20</v>
      </c>
      <c r="L311" s="1">
        <v>43616</v>
      </c>
      <c r="M311" s="1" t="s">
        <v>3154</v>
      </c>
      <c r="N311" t="s">
        <v>149</v>
      </c>
      <c r="O311" t="s">
        <v>3175</v>
      </c>
    </row>
    <row r="312" spans="1:15" x14ac:dyDescent="0.3">
      <c r="A312" t="s">
        <v>150</v>
      </c>
      <c r="B312">
        <v>6</v>
      </c>
      <c r="C312" s="1">
        <v>45240</v>
      </c>
      <c r="D312" t="s">
        <v>151</v>
      </c>
      <c r="E312" t="s">
        <v>152</v>
      </c>
      <c r="F312" t="s">
        <v>15</v>
      </c>
      <c r="G312" t="s">
        <v>105</v>
      </c>
      <c r="H312">
        <v>106</v>
      </c>
      <c r="I312">
        <v>2022</v>
      </c>
      <c r="J312" t="s">
        <v>153</v>
      </c>
      <c r="K312">
        <v>712</v>
      </c>
      <c r="L312" s="1">
        <v>44785</v>
      </c>
      <c r="M312" s="1" t="s">
        <v>3185</v>
      </c>
      <c r="N312" t="s">
        <v>154</v>
      </c>
      <c r="O312" t="s">
        <v>3175</v>
      </c>
    </row>
    <row r="313" spans="1:15" x14ac:dyDescent="0.3">
      <c r="A313" t="s">
        <v>155</v>
      </c>
      <c r="B313">
        <v>9</v>
      </c>
      <c r="C313" s="1">
        <v>44950</v>
      </c>
      <c r="D313" t="s">
        <v>156</v>
      </c>
      <c r="E313" t="s">
        <v>157</v>
      </c>
      <c r="F313" t="s">
        <v>15</v>
      </c>
      <c r="G313" t="s">
        <v>158</v>
      </c>
      <c r="H313">
        <v>152</v>
      </c>
      <c r="I313">
        <v>2018</v>
      </c>
      <c r="J313" t="s">
        <v>159</v>
      </c>
      <c r="K313">
        <v>89591</v>
      </c>
      <c r="L313" s="1">
        <v>43344</v>
      </c>
      <c r="M313" s="1" t="s">
        <v>3194</v>
      </c>
      <c r="N313" t="s">
        <v>69</v>
      </c>
      <c r="O313" t="s">
        <v>3149</v>
      </c>
    </row>
    <row r="314" spans="1:15" x14ac:dyDescent="0.3">
      <c r="A314" t="s">
        <v>160</v>
      </c>
      <c r="B314">
        <v>6</v>
      </c>
      <c r="C314" s="1">
        <v>44976</v>
      </c>
      <c r="D314" t="s">
        <v>161</v>
      </c>
      <c r="E314" t="s">
        <v>162</v>
      </c>
      <c r="F314" t="s">
        <v>15</v>
      </c>
      <c r="G314" t="s">
        <v>163</v>
      </c>
      <c r="H314">
        <v>117</v>
      </c>
      <c r="I314">
        <v>2023</v>
      </c>
      <c r="J314" t="s">
        <v>164</v>
      </c>
      <c r="K314">
        <v>49898</v>
      </c>
      <c r="L314" s="1">
        <v>44947</v>
      </c>
      <c r="M314" s="1" t="s">
        <v>3169</v>
      </c>
      <c r="N314" t="s">
        <v>165</v>
      </c>
      <c r="O314" t="s">
        <v>3149</v>
      </c>
    </row>
    <row r="315" spans="1:15" x14ac:dyDescent="0.3">
      <c r="A315" t="s">
        <v>166</v>
      </c>
      <c r="B315">
        <v>7</v>
      </c>
      <c r="C315" s="1">
        <v>44605</v>
      </c>
      <c r="D315" t="s">
        <v>167</v>
      </c>
      <c r="E315" t="s">
        <v>168</v>
      </c>
      <c r="F315" t="s">
        <v>15</v>
      </c>
      <c r="G315" t="s">
        <v>29</v>
      </c>
      <c r="H315">
        <v>111</v>
      </c>
      <c r="I315">
        <v>2021</v>
      </c>
      <c r="J315" t="s">
        <v>169</v>
      </c>
      <c r="K315">
        <v>158109</v>
      </c>
      <c r="L315" s="1">
        <v>44225</v>
      </c>
      <c r="M315" s="1" t="s">
        <v>3165</v>
      </c>
      <c r="N315" t="s">
        <v>170</v>
      </c>
      <c r="O315" t="s">
        <v>3175</v>
      </c>
    </row>
    <row r="316" spans="1:15" x14ac:dyDescent="0.3">
      <c r="A316" t="s">
        <v>171</v>
      </c>
      <c r="B316">
        <v>8</v>
      </c>
      <c r="C316" s="1">
        <v>44427</v>
      </c>
      <c r="D316" t="s">
        <v>172</v>
      </c>
      <c r="E316" t="s">
        <v>173</v>
      </c>
      <c r="F316" t="s">
        <v>15</v>
      </c>
      <c r="G316" t="s">
        <v>84</v>
      </c>
      <c r="H316">
        <v>128</v>
      </c>
      <c r="I316">
        <v>2021</v>
      </c>
      <c r="J316" t="s">
        <v>17</v>
      </c>
      <c r="K316">
        <v>90853</v>
      </c>
      <c r="L316" s="1">
        <v>44231</v>
      </c>
      <c r="M316" s="1" t="s">
        <v>3177</v>
      </c>
      <c r="N316" t="s">
        <v>174</v>
      </c>
      <c r="O316" t="s">
        <v>3149</v>
      </c>
    </row>
    <row r="317" spans="1:15" x14ac:dyDescent="0.3">
      <c r="A317" t="s">
        <v>180</v>
      </c>
      <c r="B317">
        <v>8</v>
      </c>
      <c r="C317" s="1">
        <v>44585</v>
      </c>
      <c r="D317" t="s">
        <v>181</v>
      </c>
      <c r="E317" t="s">
        <v>182</v>
      </c>
      <c r="F317" t="s">
        <v>15</v>
      </c>
      <c r="G317" t="s">
        <v>35</v>
      </c>
      <c r="H317">
        <v>101</v>
      </c>
      <c r="I317">
        <v>2020</v>
      </c>
      <c r="J317" t="s">
        <v>42</v>
      </c>
      <c r="K317">
        <v>12676</v>
      </c>
      <c r="L317" s="1">
        <v>44014</v>
      </c>
      <c r="M317" s="1" t="s">
        <v>3155</v>
      </c>
      <c r="N317" t="s">
        <v>183</v>
      </c>
      <c r="O317" t="s">
        <v>3149</v>
      </c>
    </row>
    <row r="318" spans="1:15" x14ac:dyDescent="0.3">
      <c r="A318" t="s">
        <v>190</v>
      </c>
      <c r="B318">
        <v>6</v>
      </c>
      <c r="C318" s="1">
        <v>44246</v>
      </c>
      <c r="D318" t="s">
        <v>191</v>
      </c>
      <c r="E318" t="s">
        <v>192</v>
      </c>
      <c r="F318" t="s">
        <v>15</v>
      </c>
      <c r="G318" t="s">
        <v>67</v>
      </c>
      <c r="H318">
        <v>90</v>
      </c>
      <c r="I318">
        <v>2019</v>
      </c>
      <c r="J318" t="s">
        <v>193</v>
      </c>
      <c r="K318">
        <v>104</v>
      </c>
      <c r="L318" s="1">
        <v>43661</v>
      </c>
      <c r="M318" s="1" t="s">
        <v>3154</v>
      </c>
      <c r="N318" t="s">
        <v>194</v>
      </c>
      <c r="O318" t="s">
        <v>3149</v>
      </c>
    </row>
    <row r="319" spans="1:15" x14ac:dyDescent="0.3">
      <c r="A319" t="s">
        <v>195</v>
      </c>
      <c r="B319">
        <v>7</v>
      </c>
      <c r="C319" s="1">
        <v>45113</v>
      </c>
      <c r="D319" t="s">
        <v>196</v>
      </c>
      <c r="E319" t="s">
        <v>197</v>
      </c>
      <c r="F319" t="s">
        <v>47</v>
      </c>
      <c r="G319" t="s">
        <v>198</v>
      </c>
      <c r="H319">
        <v>20</v>
      </c>
      <c r="I319">
        <v>2019</v>
      </c>
      <c r="J319" t="s">
        <v>199</v>
      </c>
      <c r="K319">
        <v>30</v>
      </c>
      <c r="L319" s="1">
        <v>43532</v>
      </c>
      <c r="M319" s="1" t="s">
        <v>3154</v>
      </c>
      <c r="N319" t="s">
        <v>200</v>
      </c>
      <c r="O319" t="s">
        <v>3149</v>
      </c>
    </row>
    <row r="320" spans="1:15" x14ac:dyDescent="0.3">
      <c r="A320" t="s">
        <v>201</v>
      </c>
      <c r="B320">
        <v>7</v>
      </c>
      <c r="C320" s="1">
        <v>44176</v>
      </c>
      <c r="D320" t="s">
        <v>202</v>
      </c>
      <c r="E320" t="s">
        <v>203</v>
      </c>
      <c r="F320" t="s">
        <v>15</v>
      </c>
      <c r="G320" t="s">
        <v>67</v>
      </c>
      <c r="H320">
        <v>131</v>
      </c>
      <c r="I320">
        <v>2020</v>
      </c>
      <c r="J320" t="s">
        <v>204</v>
      </c>
      <c r="K320">
        <v>81400</v>
      </c>
      <c r="L320" s="1">
        <v>44148</v>
      </c>
      <c r="M320" s="1" t="s">
        <v>3165</v>
      </c>
      <c r="N320" t="s">
        <v>205</v>
      </c>
      <c r="O320" t="s">
        <v>3149</v>
      </c>
    </row>
    <row r="321" spans="1:15" x14ac:dyDescent="0.3">
      <c r="A321" t="s">
        <v>209</v>
      </c>
      <c r="B321">
        <v>7</v>
      </c>
      <c r="C321" s="1">
        <v>44335</v>
      </c>
      <c r="D321" t="s">
        <v>210</v>
      </c>
      <c r="E321" t="s">
        <v>211</v>
      </c>
      <c r="F321" t="s">
        <v>15</v>
      </c>
      <c r="G321" t="s">
        <v>148</v>
      </c>
      <c r="H321">
        <v>115</v>
      </c>
      <c r="I321">
        <v>2020</v>
      </c>
      <c r="J321" t="s">
        <v>24</v>
      </c>
      <c r="K321">
        <v>93409</v>
      </c>
      <c r="L321" s="1">
        <v>43856</v>
      </c>
      <c r="M321" s="1" t="s">
        <v>3165</v>
      </c>
      <c r="N321" t="s">
        <v>212</v>
      </c>
      <c r="O321" t="s">
        <v>3149</v>
      </c>
    </row>
    <row r="322" spans="1:15" x14ac:dyDescent="0.3">
      <c r="A322" t="s">
        <v>213</v>
      </c>
      <c r="B322">
        <v>8</v>
      </c>
      <c r="C322" s="1">
        <v>44715</v>
      </c>
      <c r="D322" t="s">
        <v>214</v>
      </c>
      <c r="E322" t="s">
        <v>215</v>
      </c>
      <c r="F322" t="s">
        <v>216</v>
      </c>
      <c r="G322" t="s">
        <v>122</v>
      </c>
      <c r="H322">
        <v>240</v>
      </c>
      <c r="I322">
        <v>2022</v>
      </c>
      <c r="J322" t="s">
        <v>42</v>
      </c>
      <c r="K322">
        <v>73445</v>
      </c>
      <c r="L322" s="1">
        <v>44673</v>
      </c>
      <c r="M322" s="1" t="s">
        <v>3171</v>
      </c>
      <c r="N322" t="s">
        <v>3213</v>
      </c>
      <c r="O322" t="s">
        <v>3175</v>
      </c>
    </row>
    <row r="323" spans="1:15" x14ac:dyDescent="0.3">
      <c r="A323" t="s">
        <v>217</v>
      </c>
      <c r="B323">
        <v>8</v>
      </c>
      <c r="C323" s="1">
        <v>44965</v>
      </c>
      <c r="D323" t="s">
        <v>218</v>
      </c>
      <c r="E323" t="s">
        <v>219</v>
      </c>
      <c r="F323" t="s">
        <v>15</v>
      </c>
      <c r="G323" t="s">
        <v>198</v>
      </c>
      <c r="H323">
        <v>189</v>
      </c>
      <c r="I323">
        <v>2022</v>
      </c>
      <c r="J323" t="s">
        <v>220</v>
      </c>
      <c r="K323">
        <v>156647</v>
      </c>
      <c r="L323" s="1">
        <v>44910</v>
      </c>
      <c r="M323" s="1" t="s">
        <v>3165</v>
      </c>
      <c r="N323" t="s">
        <v>221</v>
      </c>
      <c r="O323" t="s">
        <v>3149</v>
      </c>
    </row>
    <row r="324" spans="1:15" x14ac:dyDescent="0.3">
      <c r="A324" t="s">
        <v>222</v>
      </c>
      <c r="B324">
        <v>8</v>
      </c>
      <c r="C324" s="1">
        <v>43612</v>
      </c>
      <c r="D324" t="s">
        <v>223</v>
      </c>
      <c r="E324" t="s">
        <v>224</v>
      </c>
      <c r="F324" t="s">
        <v>15</v>
      </c>
      <c r="G324" t="s">
        <v>67</v>
      </c>
      <c r="H324">
        <v>104</v>
      </c>
      <c r="I324">
        <v>2008</v>
      </c>
      <c r="J324" t="s">
        <v>225</v>
      </c>
      <c r="K324">
        <v>378718</v>
      </c>
      <c r="L324" s="1">
        <v>39791</v>
      </c>
      <c r="M324" s="1" t="s">
        <v>3165</v>
      </c>
      <c r="N324" t="s">
        <v>226</v>
      </c>
      <c r="O324" t="s">
        <v>3149</v>
      </c>
    </row>
    <row r="325" spans="1:15" x14ac:dyDescent="0.3">
      <c r="A325" t="s">
        <v>227</v>
      </c>
      <c r="B325">
        <v>7</v>
      </c>
      <c r="C325" s="1">
        <v>45161</v>
      </c>
      <c r="D325" t="s">
        <v>228</v>
      </c>
      <c r="E325" t="s">
        <v>229</v>
      </c>
      <c r="F325" t="s">
        <v>15</v>
      </c>
      <c r="G325" t="s">
        <v>67</v>
      </c>
      <c r="H325">
        <v>111</v>
      </c>
      <c r="I325">
        <v>2021</v>
      </c>
      <c r="J325" t="s">
        <v>230</v>
      </c>
      <c r="K325">
        <v>19249</v>
      </c>
      <c r="L325" s="1">
        <v>44441</v>
      </c>
      <c r="M325" s="1" t="s">
        <v>3171</v>
      </c>
      <c r="N325" t="s">
        <v>231</v>
      </c>
      <c r="O325" t="s">
        <v>3149</v>
      </c>
    </row>
    <row r="326" spans="1:15" x14ac:dyDescent="0.3">
      <c r="A326" t="s">
        <v>232</v>
      </c>
      <c r="B326">
        <v>7</v>
      </c>
      <c r="C326" s="1">
        <v>45128</v>
      </c>
      <c r="D326" t="s">
        <v>233</v>
      </c>
      <c r="E326" t="s">
        <v>234</v>
      </c>
      <c r="F326" t="s">
        <v>15</v>
      </c>
      <c r="G326" t="s">
        <v>187</v>
      </c>
      <c r="H326">
        <v>80</v>
      </c>
      <c r="I326">
        <v>2019</v>
      </c>
      <c r="J326" t="s">
        <v>235</v>
      </c>
      <c r="K326">
        <v>3064</v>
      </c>
      <c r="L326" s="1">
        <v>43714</v>
      </c>
      <c r="M326" s="1" t="s">
        <v>3171</v>
      </c>
      <c r="N326" t="s">
        <v>236</v>
      </c>
    </row>
    <row r="327" spans="1:15" x14ac:dyDescent="0.3">
      <c r="A327" t="s">
        <v>237</v>
      </c>
      <c r="B327">
        <v>7</v>
      </c>
      <c r="C327" s="1">
        <v>44324</v>
      </c>
      <c r="D327" t="s">
        <v>238</v>
      </c>
      <c r="E327" t="s">
        <v>239</v>
      </c>
      <c r="F327" t="s">
        <v>15</v>
      </c>
      <c r="G327" t="s">
        <v>84</v>
      </c>
      <c r="H327">
        <v>129</v>
      </c>
      <c r="I327">
        <v>2020</v>
      </c>
      <c r="J327" t="s">
        <v>240</v>
      </c>
      <c r="K327">
        <v>190146</v>
      </c>
      <c r="L327" s="1">
        <v>44099</v>
      </c>
      <c r="M327" s="1" t="s">
        <v>3165</v>
      </c>
      <c r="N327" t="s">
        <v>241</v>
      </c>
      <c r="O327" t="s">
        <v>3149</v>
      </c>
    </row>
    <row r="328" spans="1:15" x14ac:dyDescent="0.3">
      <c r="A328" t="s">
        <v>242</v>
      </c>
      <c r="B328">
        <v>7</v>
      </c>
      <c r="C328" s="1">
        <v>44939</v>
      </c>
      <c r="D328" t="s">
        <v>243</v>
      </c>
      <c r="E328" t="s">
        <v>244</v>
      </c>
      <c r="F328" t="s">
        <v>15</v>
      </c>
      <c r="G328" t="s">
        <v>116</v>
      </c>
      <c r="H328">
        <v>123</v>
      </c>
      <c r="I328">
        <v>2022</v>
      </c>
      <c r="J328" t="s">
        <v>178</v>
      </c>
      <c r="K328">
        <v>136706</v>
      </c>
      <c r="L328" s="1">
        <v>44809</v>
      </c>
      <c r="M328" s="1" t="s">
        <v>3165</v>
      </c>
      <c r="N328" t="s">
        <v>245</v>
      </c>
      <c r="O328" t="s">
        <v>3175</v>
      </c>
    </row>
    <row r="329" spans="1:15" x14ac:dyDescent="0.3">
      <c r="A329" t="s">
        <v>246</v>
      </c>
      <c r="B329">
        <v>7</v>
      </c>
      <c r="C329" s="1">
        <v>43881</v>
      </c>
      <c r="D329" t="s">
        <v>247</v>
      </c>
      <c r="E329" t="s">
        <v>248</v>
      </c>
      <c r="F329" t="s">
        <v>15</v>
      </c>
      <c r="G329" t="s">
        <v>84</v>
      </c>
      <c r="H329">
        <v>110</v>
      </c>
      <c r="I329">
        <v>2020</v>
      </c>
      <c r="J329" t="s">
        <v>235</v>
      </c>
      <c r="K329">
        <v>1170</v>
      </c>
      <c r="L329" s="1">
        <v>43860</v>
      </c>
      <c r="M329" s="1" t="s">
        <v>3154</v>
      </c>
      <c r="N329" t="s">
        <v>249</v>
      </c>
      <c r="O329" t="s">
        <v>3149</v>
      </c>
    </row>
    <row r="330" spans="1:15" x14ac:dyDescent="0.3">
      <c r="A330" t="s">
        <v>254</v>
      </c>
      <c r="B330">
        <v>7</v>
      </c>
      <c r="C330" s="1">
        <v>44100</v>
      </c>
      <c r="D330" t="s">
        <v>255</v>
      </c>
      <c r="E330" t="s">
        <v>256</v>
      </c>
      <c r="F330" t="s">
        <v>15</v>
      </c>
      <c r="G330" t="s">
        <v>35</v>
      </c>
      <c r="H330">
        <v>108</v>
      </c>
      <c r="I330">
        <v>2019</v>
      </c>
      <c r="J330" t="s">
        <v>193</v>
      </c>
      <c r="K330">
        <v>2609</v>
      </c>
      <c r="L330" s="1">
        <v>43712</v>
      </c>
      <c r="M330" s="1" t="s">
        <v>3154</v>
      </c>
      <c r="N330" t="s">
        <v>257</v>
      </c>
      <c r="O330" t="s">
        <v>3149</v>
      </c>
    </row>
    <row r="331" spans="1:15" x14ac:dyDescent="0.3">
      <c r="A331" t="s">
        <v>285</v>
      </c>
      <c r="B331">
        <v>6</v>
      </c>
      <c r="C331" s="1">
        <v>45251</v>
      </c>
      <c r="D331" t="s">
        <v>286</v>
      </c>
      <c r="E331" t="s">
        <v>287</v>
      </c>
      <c r="F331" t="s">
        <v>15</v>
      </c>
      <c r="G331" t="s">
        <v>67</v>
      </c>
      <c r="H331">
        <v>107</v>
      </c>
      <c r="I331">
        <v>2009</v>
      </c>
      <c r="J331" t="s">
        <v>17</v>
      </c>
      <c r="K331">
        <v>166572</v>
      </c>
      <c r="L331" s="1">
        <v>39832</v>
      </c>
      <c r="M331" s="1" t="s">
        <v>3165</v>
      </c>
      <c r="N331" t="s">
        <v>288</v>
      </c>
      <c r="O331" t="s">
        <v>3149</v>
      </c>
    </row>
    <row r="332" spans="1:15" x14ac:dyDescent="0.3">
      <c r="A332" t="s">
        <v>294</v>
      </c>
      <c r="B332">
        <v>6</v>
      </c>
      <c r="C332" s="1">
        <v>45113</v>
      </c>
      <c r="D332" t="s">
        <v>295</v>
      </c>
      <c r="E332" t="s">
        <v>296</v>
      </c>
      <c r="F332" t="s">
        <v>47</v>
      </c>
      <c r="G332" t="s">
        <v>79</v>
      </c>
      <c r="H332">
        <v>13</v>
      </c>
      <c r="I332">
        <v>2007</v>
      </c>
      <c r="J332" t="s">
        <v>297</v>
      </c>
      <c r="K332">
        <v>35711</v>
      </c>
      <c r="L332" s="1">
        <v>39328</v>
      </c>
      <c r="M332" s="1" t="s">
        <v>3165</v>
      </c>
      <c r="N332" t="s">
        <v>298</v>
      </c>
      <c r="O332" t="s">
        <v>3149</v>
      </c>
    </row>
    <row r="333" spans="1:15" x14ac:dyDescent="0.3">
      <c r="A333" t="s">
        <v>299</v>
      </c>
      <c r="B333">
        <v>7</v>
      </c>
      <c r="C333" s="1">
        <v>44429</v>
      </c>
      <c r="D333" t="s">
        <v>300</v>
      </c>
      <c r="E333" t="s">
        <v>301</v>
      </c>
      <c r="F333" t="s">
        <v>15</v>
      </c>
      <c r="G333" t="s">
        <v>73</v>
      </c>
      <c r="H333">
        <v>108</v>
      </c>
      <c r="I333">
        <v>2021</v>
      </c>
      <c r="J333" t="s">
        <v>302</v>
      </c>
      <c r="K333">
        <v>54049</v>
      </c>
      <c r="L333" s="1">
        <v>44390</v>
      </c>
      <c r="M333" s="1" t="s">
        <v>3155</v>
      </c>
      <c r="N333" t="s">
        <v>303</v>
      </c>
      <c r="O333" t="s">
        <v>3175</v>
      </c>
    </row>
    <row r="334" spans="1:15" x14ac:dyDescent="0.3">
      <c r="A334" t="s">
        <v>304</v>
      </c>
      <c r="B334">
        <v>7</v>
      </c>
      <c r="C334" s="1">
        <v>44640</v>
      </c>
      <c r="D334" t="s">
        <v>305</v>
      </c>
      <c r="E334" t="s">
        <v>306</v>
      </c>
      <c r="F334" t="s">
        <v>15</v>
      </c>
      <c r="G334" t="s">
        <v>148</v>
      </c>
      <c r="H334">
        <v>109</v>
      </c>
      <c r="I334">
        <v>2021</v>
      </c>
      <c r="J334" t="s">
        <v>24</v>
      </c>
      <c r="K334">
        <v>37362</v>
      </c>
      <c r="L334" s="1">
        <v>44441</v>
      </c>
      <c r="M334" s="1" t="s">
        <v>3165</v>
      </c>
      <c r="N334" t="s">
        <v>307</v>
      </c>
      <c r="O334" t="s">
        <v>3149</v>
      </c>
    </row>
    <row r="335" spans="1:15" x14ac:dyDescent="0.3">
      <c r="A335" t="s">
        <v>318</v>
      </c>
      <c r="B335">
        <v>7</v>
      </c>
      <c r="C335" s="1">
        <v>44423</v>
      </c>
      <c r="D335" t="s">
        <v>319</v>
      </c>
      <c r="E335" t="s">
        <v>320</v>
      </c>
      <c r="F335" t="s">
        <v>15</v>
      </c>
      <c r="G335" t="s">
        <v>67</v>
      </c>
      <c r="H335">
        <v>92</v>
      </c>
      <c r="I335">
        <v>2021</v>
      </c>
      <c r="J335" t="s">
        <v>261</v>
      </c>
      <c r="K335">
        <v>3774</v>
      </c>
      <c r="L335" s="1">
        <v>44358</v>
      </c>
      <c r="M335" s="1" t="s">
        <v>3180</v>
      </c>
      <c r="N335" t="s">
        <v>321</v>
      </c>
      <c r="O335" t="s">
        <v>3149</v>
      </c>
    </row>
    <row r="336" spans="1:15" x14ac:dyDescent="0.3">
      <c r="A336" t="s">
        <v>343</v>
      </c>
      <c r="B336">
        <v>6</v>
      </c>
      <c r="C336" s="1">
        <v>45178</v>
      </c>
      <c r="D336" t="s">
        <v>344</v>
      </c>
      <c r="E336" t="s">
        <v>345</v>
      </c>
      <c r="F336" t="s">
        <v>15</v>
      </c>
      <c r="G336" t="s">
        <v>346</v>
      </c>
      <c r="H336">
        <v>119</v>
      </c>
      <c r="I336">
        <v>2010</v>
      </c>
      <c r="J336" t="s">
        <v>347</v>
      </c>
      <c r="K336">
        <v>91914</v>
      </c>
      <c r="L336" s="1">
        <v>40506</v>
      </c>
      <c r="M336" s="1" t="s">
        <v>3165</v>
      </c>
      <c r="N336" t="s">
        <v>348</v>
      </c>
      <c r="O336" t="s">
        <v>3149</v>
      </c>
    </row>
    <row r="337" spans="1:15" x14ac:dyDescent="0.3">
      <c r="A337" t="s">
        <v>353</v>
      </c>
      <c r="B337">
        <v>6</v>
      </c>
      <c r="C337" s="1">
        <v>44627</v>
      </c>
      <c r="D337" t="s">
        <v>354</v>
      </c>
      <c r="E337" t="s">
        <v>355</v>
      </c>
      <c r="F337" t="s">
        <v>15</v>
      </c>
      <c r="G337" t="s">
        <v>198</v>
      </c>
      <c r="H337">
        <v>133</v>
      </c>
      <c r="I337">
        <v>2021</v>
      </c>
      <c r="J337" t="s">
        <v>17</v>
      </c>
      <c r="K337">
        <v>136487</v>
      </c>
      <c r="L337" s="1">
        <v>44520</v>
      </c>
      <c r="M337" s="1" t="s">
        <v>3165</v>
      </c>
      <c r="N337" t="s">
        <v>356</v>
      </c>
      <c r="O337" t="s">
        <v>3149</v>
      </c>
    </row>
    <row r="338" spans="1:15" x14ac:dyDescent="0.3">
      <c r="A338" t="s">
        <v>357</v>
      </c>
      <c r="B338">
        <v>8</v>
      </c>
      <c r="C338" s="1">
        <v>44557</v>
      </c>
      <c r="D338" t="s">
        <v>358</v>
      </c>
      <c r="E338" t="s">
        <v>359</v>
      </c>
      <c r="F338" t="s">
        <v>15</v>
      </c>
      <c r="G338" t="s">
        <v>79</v>
      </c>
      <c r="H338">
        <v>138</v>
      </c>
      <c r="I338">
        <v>2021</v>
      </c>
      <c r="J338" t="s">
        <v>360</v>
      </c>
      <c r="K338">
        <v>582365</v>
      </c>
      <c r="L338" s="1">
        <v>44535</v>
      </c>
      <c r="M338" s="1" t="s">
        <v>3165</v>
      </c>
      <c r="N338" t="s">
        <v>361</v>
      </c>
      <c r="O338" t="s">
        <v>3149</v>
      </c>
    </row>
    <row r="339" spans="1:15" x14ac:dyDescent="0.3">
      <c r="A339" t="s">
        <v>366</v>
      </c>
      <c r="B339">
        <v>7</v>
      </c>
      <c r="C339" s="1">
        <v>44810</v>
      </c>
      <c r="D339" t="s">
        <v>367</v>
      </c>
      <c r="E339" t="s">
        <v>368</v>
      </c>
      <c r="F339" t="s">
        <v>15</v>
      </c>
      <c r="G339" t="s">
        <v>369</v>
      </c>
      <c r="H339">
        <v>138</v>
      </c>
      <c r="I339">
        <v>2010</v>
      </c>
      <c r="J339" t="s">
        <v>370</v>
      </c>
      <c r="K339">
        <v>1421055</v>
      </c>
      <c r="L339" s="1">
        <v>40222</v>
      </c>
      <c r="M339" s="1" t="s">
        <v>3165</v>
      </c>
      <c r="N339" t="s">
        <v>371</v>
      </c>
      <c r="O339" t="s">
        <v>3149</v>
      </c>
    </row>
    <row r="340" spans="1:15" x14ac:dyDescent="0.3">
      <c r="A340" t="s">
        <v>372</v>
      </c>
      <c r="B340">
        <v>7</v>
      </c>
      <c r="C340" s="1">
        <v>44931</v>
      </c>
      <c r="D340" t="s">
        <v>373</v>
      </c>
      <c r="E340" t="s">
        <v>374</v>
      </c>
      <c r="F340" t="s">
        <v>15</v>
      </c>
      <c r="G340" t="s">
        <v>198</v>
      </c>
      <c r="H340">
        <v>77</v>
      </c>
      <c r="I340">
        <v>2020</v>
      </c>
      <c r="J340" t="s">
        <v>261</v>
      </c>
      <c r="K340">
        <v>30910</v>
      </c>
      <c r="L340" s="1">
        <v>43905</v>
      </c>
      <c r="M340" s="1" t="s">
        <v>3165</v>
      </c>
      <c r="N340" t="s">
        <v>375</v>
      </c>
      <c r="O340" t="s">
        <v>3149</v>
      </c>
    </row>
    <row r="341" spans="1:15" x14ac:dyDescent="0.3">
      <c r="A341" t="s">
        <v>376</v>
      </c>
      <c r="B341">
        <v>6</v>
      </c>
      <c r="C341" s="1">
        <v>43697</v>
      </c>
      <c r="D341" s="3" t="s">
        <v>377</v>
      </c>
      <c r="E341" t="s">
        <v>378</v>
      </c>
      <c r="F341" t="s">
        <v>15</v>
      </c>
      <c r="G341" t="s">
        <v>379</v>
      </c>
      <c r="H341">
        <v>98</v>
      </c>
      <c r="I341">
        <v>2017</v>
      </c>
      <c r="J341" t="s">
        <v>380</v>
      </c>
      <c r="K341">
        <v>25316</v>
      </c>
      <c r="L341" s="1">
        <v>42915</v>
      </c>
      <c r="M341" s="1" t="s">
        <v>3165</v>
      </c>
      <c r="N341" t="s">
        <v>381</v>
      </c>
      <c r="O341" t="s">
        <v>3149</v>
      </c>
    </row>
    <row r="342" spans="1:15" x14ac:dyDescent="0.3">
      <c r="A342" t="s">
        <v>386</v>
      </c>
      <c r="B342">
        <v>6</v>
      </c>
      <c r="C342" s="1">
        <v>44124</v>
      </c>
      <c r="D342" t="s">
        <v>387</v>
      </c>
      <c r="E342" t="s">
        <v>388</v>
      </c>
      <c r="F342" t="s">
        <v>15</v>
      </c>
      <c r="G342" t="s">
        <v>16</v>
      </c>
      <c r="H342">
        <v>110</v>
      </c>
      <c r="I342">
        <v>2019</v>
      </c>
      <c r="J342" t="s">
        <v>389</v>
      </c>
      <c r="K342">
        <v>581</v>
      </c>
      <c r="L342" s="1">
        <v>43803</v>
      </c>
      <c r="M342" s="1" t="s">
        <v>3154</v>
      </c>
      <c r="N342" t="s">
        <v>390</v>
      </c>
      <c r="O342" t="s">
        <v>3149</v>
      </c>
    </row>
    <row r="343" spans="1:15" x14ac:dyDescent="0.3">
      <c r="A343" t="s">
        <v>391</v>
      </c>
      <c r="B343">
        <v>7</v>
      </c>
      <c r="C343" s="1">
        <v>44550</v>
      </c>
      <c r="D343" t="s">
        <v>392</v>
      </c>
      <c r="E343" t="s">
        <v>393</v>
      </c>
      <c r="F343" t="s">
        <v>15</v>
      </c>
      <c r="G343" t="s">
        <v>56</v>
      </c>
      <c r="H343">
        <v>92</v>
      </c>
      <c r="I343">
        <v>2020</v>
      </c>
      <c r="J343" t="s">
        <v>394</v>
      </c>
      <c r="K343">
        <v>5428</v>
      </c>
      <c r="L343" s="1">
        <v>43857</v>
      </c>
      <c r="M343" s="1" t="s">
        <v>3165</v>
      </c>
      <c r="N343" t="s">
        <v>395</v>
      </c>
      <c r="O343" t="s">
        <v>3149</v>
      </c>
    </row>
    <row r="344" spans="1:15" x14ac:dyDescent="0.3">
      <c r="A344" t="s">
        <v>396</v>
      </c>
      <c r="B344">
        <v>6</v>
      </c>
      <c r="C344" s="1">
        <v>45161</v>
      </c>
      <c r="D344" t="s">
        <v>397</v>
      </c>
      <c r="E344" t="s">
        <v>398</v>
      </c>
      <c r="F344" t="s">
        <v>15</v>
      </c>
      <c r="G344" t="s">
        <v>61</v>
      </c>
      <c r="H344">
        <v>114</v>
      </c>
      <c r="I344">
        <v>2008</v>
      </c>
      <c r="J344" t="s">
        <v>399</v>
      </c>
      <c r="K344">
        <v>224930</v>
      </c>
      <c r="L344" s="1">
        <v>39473</v>
      </c>
      <c r="M344" s="1" t="s">
        <v>3186</v>
      </c>
      <c r="N344" t="s">
        <v>400</v>
      </c>
      <c r="O344" t="s">
        <v>3149</v>
      </c>
    </row>
    <row r="345" spans="1:15" x14ac:dyDescent="0.3">
      <c r="A345" t="s">
        <v>401</v>
      </c>
      <c r="B345">
        <v>6</v>
      </c>
      <c r="C345" s="1">
        <v>43853</v>
      </c>
      <c r="D345" t="s">
        <v>402</v>
      </c>
      <c r="E345" t="s">
        <v>403</v>
      </c>
      <c r="F345" t="s">
        <v>15</v>
      </c>
      <c r="G345" t="s">
        <v>346</v>
      </c>
      <c r="H345">
        <v>103</v>
      </c>
      <c r="I345">
        <v>2020</v>
      </c>
      <c r="J345" t="s">
        <v>404</v>
      </c>
      <c r="K345">
        <v>722</v>
      </c>
      <c r="L345" s="1">
        <v>43846</v>
      </c>
      <c r="M345" s="1" t="s">
        <v>3154</v>
      </c>
      <c r="N345" t="s">
        <v>405</v>
      </c>
      <c r="O345" t="s">
        <v>3175</v>
      </c>
    </row>
    <row r="346" spans="1:15" x14ac:dyDescent="0.3">
      <c r="A346" t="s">
        <v>410</v>
      </c>
      <c r="B346">
        <v>7</v>
      </c>
      <c r="C346" s="1">
        <v>44131</v>
      </c>
      <c r="D346" t="s">
        <v>411</v>
      </c>
      <c r="E346" t="s">
        <v>412</v>
      </c>
      <c r="F346" t="s">
        <v>15</v>
      </c>
      <c r="G346" t="s">
        <v>143</v>
      </c>
      <c r="H346">
        <v>72</v>
      </c>
      <c r="I346">
        <v>2020</v>
      </c>
      <c r="J346" t="s">
        <v>96</v>
      </c>
      <c r="K346">
        <v>43</v>
      </c>
      <c r="L346" s="1">
        <v>44066</v>
      </c>
      <c r="M346" s="1" t="s">
        <v>3154</v>
      </c>
      <c r="N346" t="s">
        <v>413</v>
      </c>
      <c r="O346" t="s">
        <v>3149</v>
      </c>
    </row>
    <row r="347" spans="1:15" x14ac:dyDescent="0.3">
      <c r="A347" t="s">
        <v>418</v>
      </c>
      <c r="B347">
        <v>5</v>
      </c>
      <c r="C347" s="1">
        <v>43694</v>
      </c>
      <c r="D347" t="s">
        <v>419</v>
      </c>
      <c r="E347" t="s">
        <v>420</v>
      </c>
      <c r="F347" t="s">
        <v>15</v>
      </c>
      <c r="G347" t="s">
        <v>417</v>
      </c>
      <c r="H347">
        <v>82</v>
      </c>
      <c r="I347">
        <v>2009</v>
      </c>
      <c r="J347" t="s">
        <v>421</v>
      </c>
      <c r="K347">
        <v>113525</v>
      </c>
      <c r="L347" s="1">
        <v>40051</v>
      </c>
      <c r="M347" s="1" t="s">
        <v>3165</v>
      </c>
      <c r="N347" t="s">
        <v>422</v>
      </c>
      <c r="O347" t="s">
        <v>3149</v>
      </c>
    </row>
    <row r="348" spans="1:15" x14ac:dyDescent="0.3">
      <c r="A348" t="s">
        <v>428</v>
      </c>
      <c r="B348">
        <v>6</v>
      </c>
      <c r="C348" s="1">
        <v>44550</v>
      </c>
      <c r="D348" t="s">
        <v>429</v>
      </c>
      <c r="E348" t="s">
        <v>430</v>
      </c>
      <c r="F348" t="s">
        <v>15</v>
      </c>
      <c r="G348" t="s">
        <v>73</v>
      </c>
      <c r="H348">
        <v>83</v>
      </c>
      <c r="I348">
        <v>2020</v>
      </c>
      <c r="J348" t="s">
        <v>431</v>
      </c>
      <c r="K348">
        <v>415</v>
      </c>
      <c r="L348" s="1">
        <v>43983</v>
      </c>
      <c r="M348" s="1" t="s">
        <v>3171</v>
      </c>
      <c r="N348" t="s">
        <v>432</v>
      </c>
      <c r="O348" t="s">
        <v>3149</v>
      </c>
    </row>
    <row r="349" spans="1:15" x14ac:dyDescent="0.3">
      <c r="A349" t="s">
        <v>440</v>
      </c>
      <c r="B349">
        <v>6</v>
      </c>
      <c r="C349" s="1">
        <v>44500</v>
      </c>
      <c r="D349" t="s">
        <v>441</v>
      </c>
      <c r="E349" t="s">
        <v>442</v>
      </c>
      <c r="F349" t="s">
        <v>15</v>
      </c>
      <c r="G349" t="s">
        <v>29</v>
      </c>
      <c r="H349">
        <v>155</v>
      </c>
      <c r="I349">
        <v>2021</v>
      </c>
      <c r="J349" t="s">
        <v>443</v>
      </c>
      <c r="K349">
        <v>738431</v>
      </c>
      <c r="L349" s="1">
        <v>44442</v>
      </c>
      <c r="M349" s="1" t="s">
        <v>3165</v>
      </c>
      <c r="N349" t="s">
        <v>444</v>
      </c>
      <c r="O349" t="s">
        <v>3149</v>
      </c>
    </row>
    <row r="350" spans="1:15" x14ac:dyDescent="0.3">
      <c r="A350" t="s">
        <v>453</v>
      </c>
      <c r="B350">
        <v>6</v>
      </c>
      <c r="C350" s="1">
        <v>44814</v>
      </c>
      <c r="D350" t="s">
        <v>454</v>
      </c>
      <c r="E350" t="s">
        <v>455</v>
      </c>
      <c r="F350" t="s">
        <v>47</v>
      </c>
      <c r="G350" t="s">
        <v>35</v>
      </c>
      <c r="H350">
        <v>30</v>
      </c>
      <c r="I350">
        <v>2020</v>
      </c>
      <c r="J350" t="s">
        <v>456</v>
      </c>
      <c r="K350">
        <v>8134</v>
      </c>
      <c r="L350" s="1">
        <v>44077</v>
      </c>
      <c r="M350" s="1" t="s">
        <v>3159</v>
      </c>
      <c r="N350" t="s">
        <v>457</v>
      </c>
      <c r="O350" t="s">
        <v>3149</v>
      </c>
    </row>
    <row r="351" spans="1:15" x14ac:dyDescent="0.3">
      <c r="A351" t="s">
        <v>458</v>
      </c>
      <c r="B351">
        <v>4</v>
      </c>
      <c r="C351" s="1">
        <v>44130</v>
      </c>
      <c r="D351" t="s">
        <v>459</v>
      </c>
      <c r="E351" t="s">
        <v>460</v>
      </c>
      <c r="F351" t="s">
        <v>15</v>
      </c>
      <c r="G351" t="s">
        <v>461</v>
      </c>
      <c r="H351">
        <v>104</v>
      </c>
      <c r="I351">
        <v>2020</v>
      </c>
      <c r="J351" t="s">
        <v>462</v>
      </c>
      <c r="K351">
        <v>243</v>
      </c>
      <c r="L351" s="1">
        <v>43882</v>
      </c>
      <c r="M351" s="1" t="s">
        <v>3154</v>
      </c>
      <c r="N351" t="s">
        <v>463</v>
      </c>
      <c r="O351" t="s">
        <v>3149</v>
      </c>
    </row>
    <row r="352" spans="1:15" x14ac:dyDescent="0.3">
      <c r="A352" t="s">
        <v>464</v>
      </c>
      <c r="B352">
        <v>8</v>
      </c>
      <c r="C352" s="1">
        <v>44380</v>
      </c>
      <c r="D352" t="s">
        <v>465</v>
      </c>
      <c r="E352" t="s">
        <v>466</v>
      </c>
      <c r="F352" t="s">
        <v>216</v>
      </c>
      <c r="G352" t="s">
        <v>29</v>
      </c>
      <c r="H352">
        <v>167</v>
      </c>
      <c r="I352">
        <v>2019</v>
      </c>
      <c r="J352" t="s">
        <v>467</v>
      </c>
      <c r="K352">
        <v>206</v>
      </c>
      <c r="L352" s="1">
        <v>43830</v>
      </c>
      <c r="M352" s="1" t="s">
        <v>3155</v>
      </c>
      <c r="N352" t="s">
        <v>3214</v>
      </c>
      <c r="O352" t="s">
        <v>3149</v>
      </c>
    </row>
    <row r="353" spans="1:15" x14ac:dyDescent="0.3">
      <c r="A353" t="s">
        <v>468</v>
      </c>
      <c r="B353">
        <v>6</v>
      </c>
      <c r="C353" s="1">
        <v>44837</v>
      </c>
      <c r="D353" t="s">
        <v>469</v>
      </c>
      <c r="E353" t="s">
        <v>470</v>
      </c>
      <c r="F353" t="s">
        <v>15</v>
      </c>
      <c r="G353" t="s">
        <v>116</v>
      </c>
      <c r="H353">
        <v>93</v>
      </c>
      <c r="I353">
        <v>2019</v>
      </c>
      <c r="J353" t="s">
        <v>96</v>
      </c>
      <c r="K353">
        <v>18</v>
      </c>
      <c r="L353" s="1">
        <v>43764</v>
      </c>
      <c r="M353" s="1" t="s">
        <v>3154</v>
      </c>
      <c r="N353" t="s">
        <v>471</v>
      </c>
      <c r="O353" t="s">
        <v>3175</v>
      </c>
    </row>
    <row r="354" spans="1:15" x14ac:dyDescent="0.3">
      <c r="A354" t="s">
        <v>472</v>
      </c>
      <c r="B354">
        <v>7</v>
      </c>
      <c r="C354" s="1">
        <v>44488</v>
      </c>
      <c r="D354" t="s">
        <v>473</v>
      </c>
      <c r="E354" t="s">
        <v>474</v>
      </c>
      <c r="F354" t="s">
        <v>15</v>
      </c>
      <c r="G354" t="s">
        <v>16</v>
      </c>
      <c r="H354">
        <v>75</v>
      </c>
      <c r="I354">
        <v>2019</v>
      </c>
      <c r="J354" t="s">
        <v>96</v>
      </c>
      <c r="K354">
        <v>54</v>
      </c>
      <c r="L354" s="1">
        <v>43787</v>
      </c>
      <c r="M354" s="1" t="s">
        <v>3154</v>
      </c>
      <c r="N354" t="s">
        <v>475</v>
      </c>
      <c r="O354" t="s">
        <v>3175</v>
      </c>
    </row>
    <row r="355" spans="1:15" x14ac:dyDescent="0.3">
      <c r="A355" t="s">
        <v>476</v>
      </c>
      <c r="B355">
        <v>4</v>
      </c>
      <c r="C355" s="1">
        <v>44350</v>
      </c>
      <c r="D355" t="s">
        <v>477</v>
      </c>
      <c r="E355" t="s">
        <v>478</v>
      </c>
      <c r="F355" t="s">
        <v>15</v>
      </c>
      <c r="G355" t="s">
        <v>379</v>
      </c>
      <c r="H355">
        <v>89</v>
      </c>
      <c r="I355">
        <v>2020</v>
      </c>
      <c r="J355" t="s">
        <v>24</v>
      </c>
      <c r="K355">
        <v>35</v>
      </c>
      <c r="L355" s="1">
        <v>44152</v>
      </c>
      <c r="M355" s="1" t="s">
        <v>3180</v>
      </c>
      <c r="N355" t="s">
        <v>479</v>
      </c>
      <c r="O355" t="s">
        <v>3149</v>
      </c>
    </row>
    <row r="356" spans="1:15" x14ac:dyDescent="0.3">
      <c r="A356" t="s">
        <v>484</v>
      </c>
      <c r="B356">
        <v>8</v>
      </c>
      <c r="C356" s="1">
        <v>45103</v>
      </c>
      <c r="D356" t="s">
        <v>485</v>
      </c>
      <c r="E356" t="s">
        <v>486</v>
      </c>
      <c r="F356" t="s">
        <v>15</v>
      </c>
      <c r="G356" t="s">
        <v>79</v>
      </c>
      <c r="H356">
        <v>103</v>
      </c>
      <c r="I356">
        <v>2016</v>
      </c>
      <c r="J356" t="s">
        <v>487</v>
      </c>
      <c r="K356">
        <v>349192</v>
      </c>
      <c r="L356" s="1">
        <v>42437</v>
      </c>
      <c r="M356" s="1" t="s">
        <v>3165</v>
      </c>
      <c r="N356" t="s">
        <v>488</v>
      </c>
      <c r="O356" t="s">
        <v>3149</v>
      </c>
    </row>
    <row r="357" spans="1:15" x14ac:dyDescent="0.3">
      <c r="A357" t="s">
        <v>493</v>
      </c>
      <c r="B357">
        <v>6</v>
      </c>
      <c r="C357" s="1">
        <v>44928</v>
      </c>
      <c r="D357" t="s">
        <v>494</v>
      </c>
      <c r="E357" t="s">
        <v>495</v>
      </c>
      <c r="F357" t="s">
        <v>15</v>
      </c>
      <c r="G357" t="s">
        <v>84</v>
      </c>
      <c r="H357">
        <v>114</v>
      </c>
      <c r="I357">
        <v>2022</v>
      </c>
      <c r="J357" t="s">
        <v>261</v>
      </c>
      <c r="K357">
        <v>237912</v>
      </c>
      <c r="L357" s="1">
        <v>44809</v>
      </c>
      <c r="M357" s="1" t="s">
        <v>3176</v>
      </c>
      <c r="N357" t="s">
        <v>496</v>
      </c>
      <c r="O357" t="s">
        <v>3149</v>
      </c>
    </row>
    <row r="358" spans="1:15" x14ac:dyDescent="0.3">
      <c r="A358" t="s">
        <v>514</v>
      </c>
      <c r="B358">
        <v>7</v>
      </c>
      <c r="C358" s="1">
        <v>44483</v>
      </c>
      <c r="D358" t="s">
        <v>515</v>
      </c>
      <c r="E358" t="s">
        <v>516</v>
      </c>
      <c r="F358" t="s">
        <v>15</v>
      </c>
      <c r="G358" t="s">
        <v>79</v>
      </c>
      <c r="H358">
        <v>161</v>
      </c>
      <c r="I358">
        <v>2009</v>
      </c>
      <c r="J358" t="s">
        <v>517</v>
      </c>
      <c r="K358">
        <v>86684</v>
      </c>
      <c r="L358" s="1">
        <v>39955</v>
      </c>
      <c r="M358" s="1" t="s">
        <v>3155</v>
      </c>
      <c r="N358" t="s">
        <v>118</v>
      </c>
      <c r="O358" t="s">
        <v>3149</v>
      </c>
    </row>
    <row r="359" spans="1:15" x14ac:dyDescent="0.3">
      <c r="A359" t="s">
        <v>521</v>
      </c>
      <c r="B359">
        <v>6</v>
      </c>
      <c r="C359" s="1">
        <v>44933</v>
      </c>
      <c r="D359" t="s">
        <v>522</v>
      </c>
      <c r="E359" t="s">
        <v>523</v>
      </c>
      <c r="F359" t="s">
        <v>15</v>
      </c>
      <c r="G359" t="s">
        <v>524</v>
      </c>
      <c r="H359">
        <v>114</v>
      </c>
      <c r="I359">
        <v>2022</v>
      </c>
      <c r="J359" t="s">
        <v>230</v>
      </c>
      <c r="K359">
        <v>9097</v>
      </c>
      <c r="L359" s="1">
        <v>44701</v>
      </c>
      <c r="M359" s="1" t="s">
        <v>3180</v>
      </c>
      <c r="N359" t="s">
        <v>525</v>
      </c>
      <c r="O359" t="s">
        <v>3175</v>
      </c>
    </row>
    <row r="360" spans="1:15" x14ac:dyDescent="0.3">
      <c r="A360" t="s">
        <v>548</v>
      </c>
      <c r="B360">
        <v>9</v>
      </c>
      <c r="C360" s="1">
        <v>44393</v>
      </c>
      <c r="D360" t="s">
        <v>549</v>
      </c>
      <c r="E360" t="s">
        <v>550</v>
      </c>
      <c r="F360" t="s">
        <v>551</v>
      </c>
      <c r="G360" t="s">
        <v>369</v>
      </c>
      <c r="H360">
        <v>60</v>
      </c>
      <c r="I360">
        <v>2020</v>
      </c>
      <c r="J360" t="s">
        <v>235</v>
      </c>
      <c r="K360">
        <v>6342</v>
      </c>
      <c r="L360" s="1">
        <v>43925</v>
      </c>
      <c r="M360" s="1" t="s">
        <v>3165</v>
      </c>
      <c r="N360" t="s">
        <v>552</v>
      </c>
      <c r="O360" t="s">
        <v>3149</v>
      </c>
    </row>
    <row r="361" spans="1:15" x14ac:dyDescent="0.3">
      <c r="A361" t="s">
        <v>558</v>
      </c>
      <c r="B361">
        <v>7</v>
      </c>
      <c r="C361" s="1">
        <v>43958</v>
      </c>
      <c r="D361" t="s">
        <v>559</v>
      </c>
      <c r="E361" t="s">
        <v>560</v>
      </c>
      <c r="F361" t="s">
        <v>216</v>
      </c>
      <c r="G361" t="s">
        <v>284</v>
      </c>
      <c r="H361">
        <f>12*47</f>
        <v>564</v>
      </c>
      <c r="I361">
        <v>2020</v>
      </c>
      <c r="J361" t="s">
        <v>261</v>
      </c>
      <c r="K361">
        <v>895</v>
      </c>
      <c r="L361" s="1">
        <v>43892</v>
      </c>
      <c r="M361" s="1" t="s">
        <v>3154</v>
      </c>
      <c r="N361" t="s">
        <v>3196</v>
      </c>
      <c r="O361" t="s">
        <v>3175</v>
      </c>
    </row>
    <row r="362" spans="1:15" x14ac:dyDescent="0.3">
      <c r="A362" t="s">
        <v>566</v>
      </c>
      <c r="B362">
        <v>8</v>
      </c>
      <c r="C362" s="1">
        <v>44205</v>
      </c>
      <c r="D362" t="s">
        <v>567</v>
      </c>
      <c r="E362" t="s">
        <v>568</v>
      </c>
      <c r="F362" t="s">
        <v>15</v>
      </c>
      <c r="G362" t="s">
        <v>35</v>
      </c>
      <c r="H362">
        <v>90</v>
      </c>
      <c r="I362">
        <v>2020</v>
      </c>
      <c r="J362" t="s">
        <v>569</v>
      </c>
      <c r="K362">
        <v>604</v>
      </c>
      <c r="L362" s="1">
        <v>44182</v>
      </c>
      <c r="M362" s="1" t="s">
        <v>3154</v>
      </c>
      <c r="N362" t="s">
        <v>570</v>
      </c>
      <c r="O362" t="s">
        <v>3149</v>
      </c>
    </row>
    <row r="363" spans="1:15" x14ac:dyDescent="0.3">
      <c r="A363" t="s">
        <v>571</v>
      </c>
      <c r="B363">
        <v>7</v>
      </c>
      <c r="C363" s="1">
        <v>44627</v>
      </c>
      <c r="D363" t="s">
        <v>572</v>
      </c>
      <c r="E363" t="s">
        <v>573</v>
      </c>
      <c r="F363" t="s">
        <v>15</v>
      </c>
      <c r="G363" t="s">
        <v>148</v>
      </c>
      <c r="H363">
        <v>120</v>
      </c>
      <c r="I363">
        <v>2018</v>
      </c>
      <c r="J363" t="s">
        <v>574</v>
      </c>
      <c r="K363">
        <v>94168</v>
      </c>
      <c r="L363" s="1">
        <v>43350</v>
      </c>
      <c r="M363" s="1" t="s">
        <v>3165</v>
      </c>
      <c r="N363" t="s">
        <v>575</v>
      </c>
      <c r="O363" t="s">
        <v>3149</v>
      </c>
    </row>
    <row r="364" spans="1:15" x14ac:dyDescent="0.3">
      <c r="A364" t="s">
        <v>576</v>
      </c>
      <c r="B364">
        <v>5</v>
      </c>
      <c r="C364" s="1">
        <v>44372</v>
      </c>
      <c r="D364" t="s">
        <v>577</v>
      </c>
      <c r="E364" t="s">
        <v>578</v>
      </c>
      <c r="F364" t="s">
        <v>15</v>
      </c>
      <c r="G364" t="s">
        <v>16</v>
      </c>
      <c r="H364">
        <v>73</v>
      </c>
      <c r="I364">
        <v>2020</v>
      </c>
      <c r="J364" t="s">
        <v>96</v>
      </c>
      <c r="K364">
        <v>140</v>
      </c>
      <c r="L364" s="1">
        <v>44070</v>
      </c>
      <c r="M364" s="1" t="s">
        <v>3154</v>
      </c>
      <c r="N364" t="s">
        <v>579</v>
      </c>
      <c r="O364" t="s">
        <v>3149</v>
      </c>
    </row>
    <row r="365" spans="1:15" x14ac:dyDescent="0.3">
      <c r="A365" t="s">
        <v>586</v>
      </c>
      <c r="B365">
        <v>7</v>
      </c>
      <c r="C365" s="1">
        <v>45214</v>
      </c>
      <c r="D365" t="s">
        <v>587</v>
      </c>
      <c r="E365" t="s">
        <v>588</v>
      </c>
      <c r="F365" t="s">
        <v>15</v>
      </c>
      <c r="G365" t="s">
        <v>56</v>
      </c>
      <c r="H365">
        <v>112</v>
      </c>
      <c r="I365">
        <v>2011</v>
      </c>
      <c r="J365" t="s">
        <v>178</v>
      </c>
      <c r="K365">
        <v>165382</v>
      </c>
      <c r="L365" s="1">
        <v>40675</v>
      </c>
      <c r="M365" s="1" t="s">
        <v>3171</v>
      </c>
      <c r="N365" t="s">
        <v>589</v>
      </c>
      <c r="O365" t="s">
        <v>3175</v>
      </c>
    </row>
    <row r="366" spans="1:15" x14ac:dyDescent="0.3">
      <c r="A366" t="s">
        <v>590</v>
      </c>
      <c r="B366">
        <v>4</v>
      </c>
      <c r="C366" s="1">
        <v>44944</v>
      </c>
      <c r="D366" t="s">
        <v>591</v>
      </c>
      <c r="E366" t="s">
        <v>592</v>
      </c>
      <c r="F366" t="s">
        <v>15</v>
      </c>
      <c r="G366" t="s">
        <v>16</v>
      </c>
      <c r="H366">
        <v>139</v>
      </c>
      <c r="I366">
        <v>2022</v>
      </c>
      <c r="J366" t="s">
        <v>593</v>
      </c>
      <c r="K366">
        <v>51264</v>
      </c>
      <c r="L366" s="1">
        <v>44704</v>
      </c>
      <c r="M366" s="1" t="s">
        <v>3197</v>
      </c>
      <c r="N366" t="s">
        <v>594</v>
      </c>
      <c r="O366" t="s">
        <v>3149</v>
      </c>
    </row>
    <row r="367" spans="1:15" x14ac:dyDescent="0.3">
      <c r="A367" t="s">
        <v>595</v>
      </c>
      <c r="B367">
        <v>5</v>
      </c>
      <c r="C367" s="1">
        <v>44393</v>
      </c>
      <c r="D367" s="4">
        <v>0.36527777777777781</v>
      </c>
      <c r="E367" t="s">
        <v>596</v>
      </c>
      <c r="F367" t="s">
        <v>551</v>
      </c>
      <c r="G367" t="s">
        <v>334</v>
      </c>
      <c r="H367">
        <v>27</v>
      </c>
      <c r="I367">
        <v>2020</v>
      </c>
      <c r="J367" t="s">
        <v>597</v>
      </c>
      <c r="K367">
        <v>3655</v>
      </c>
      <c r="L367" s="1">
        <v>43994</v>
      </c>
      <c r="M367" s="1" t="s">
        <v>3165</v>
      </c>
      <c r="N367" t="s">
        <v>598</v>
      </c>
      <c r="O367" t="s">
        <v>3149</v>
      </c>
    </row>
    <row r="368" spans="1:15" x14ac:dyDescent="0.3">
      <c r="A368" t="s">
        <v>599</v>
      </c>
      <c r="B368">
        <v>6</v>
      </c>
      <c r="C368" s="1">
        <v>45175</v>
      </c>
      <c r="D368" t="s">
        <v>600</v>
      </c>
      <c r="E368" t="s">
        <v>601</v>
      </c>
      <c r="F368" t="s">
        <v>15</v>
      </c>
      <c r="G368" t="s">
        <v>524</v>
      </c>
      <c r="H368">
        <v>117</v>
      </c>
      <c r="I368">
        <v>2021</v>
      </c>
      <c r="J368" t="s">
        <v>574</v>
      </c>
      <c r="K368">
        <v>75266</v>
      </c>
      <c r="L368" s="1">
        <v>44442</v>
      </c>
      <c r="M368" s="1" t="s">
        <v>3171</v>
      </c>
      <c r="N368" t="s">
        <v>602</v>
      </c>
      <c r="O368" t="s">
        <v>3149</v>
      </c>
    </row>
    <row r="369" spans="1:15" x14ac:dyDescent="0.3">
      <c r="A369" t="s">
        <v>603</v>
      </c>
      <c r="B369">
        <v>7</v>
      </c>
      <c r="C369" s="1">
        <v>44458</v>
      </c>
      <c r="D369" t="s">
        <v>604</v>
      </c>
      <c r="E369" t="s">
        <v>605</v>
      </c>
      <c r="F369" t="s">
        <v>47</v>
      </c>
      <c r="G369" t="s">
        <v>95</v>
      </c>
      <c r="H369">
        <v>13</v>
      </c>
      <c r="I369">
        <v>2021</v>
      </c>
      <c r="J369" t="s">
        <v>606</v>
      </c>
      <c r="K369">
        <v>21</v>
      </c>
      <c r="L369" s="1">
        <v>44359</v>
      </c>
      <c r="M369" s="1" t="s">
        <v>3154</v>
      </c>
      <c r="N369" t="s">
        <v>607</v>
      </c>
      <c r="O369" t="s">
        <v>3175</v>
      </c>
    </row>
    <row r="370" spans="1:15" x14ac:dyDescent="0.3">
      <c r="A370" t="s">
        <v>608</v>
      </c>
      <c r="B370">
        <v>7</v>
      </c>
      <c r="C370" s="1">
        <v>44899</v>
      </c>
      <c r="D370" t="s">
        <v>609</v>
      </c>
      <c r="E370" t="s">
        <v>610</v>
      </c>
      <c r="F370" t="s">
        <v>15</v>
      </c>
      <c r="G370" t="s">
        <v>16</v>
      </c>
      <c r="H370">
        <v>127</v>
      </c>
      <c r="I370">
        <v>2022</v>
      </c>
      <c r="J370" t="s">
        <v>611</v>
      </c>
      <c r="K370">
        <v>400971</v>
      </c>
      <c r="L370" s="1">
        <v>44760</v>
      </c>
      <c r="M370" s="1" t="s">
        <v>3165</v>
      </c>
      <c r="N370" t="s">
        <v>612</v>
      </c>
      <c r="O370" t="s">
        <v>3149</v>
      </c>
    </row>
    <row r="371" spans="1:15" x14ac:dyDescent="0.3">
      <c r="A371" t="s">
        <v>613</v>
      </c>
      <c r="B371">
        <v>7</v>
      </c>
      <c r="C371" s="1">
        <v>45176</v>
      </c>
      <c r="D371" t="s">
        <v>614</v>
      </c>
      <c r="E371" t="s">
        <v>615</v>
      </c>
      <c r="F371" t="s">
        <v>47</v>
      </c>
      <c r="G371" t="s">
        <v>95</v>
      </c>
      <c r="H371">
        <v>9</v>
      </c>
      <c r="I371">
        <v>2020</v>
      </c>
      <c r="J371" t="s">
        <v>199</v>
      </c>
      <c r="K371">
        <v>61</v>
      </c>
      <c r="L371" s="1">
        <v>43999</v>
      </c>
      <c r="M371" s="1" t="s">
        <v>3176</v>
      </c>
      <c r="N371" t="s">
        <v>616</v>
      </c>
      <c r="O371" t="s">
        <v>3149</v>
      </c>
    </row>
    <row r="372" spans="1:15" x14ac:dyDescent="0.3">
      <c r="A372" t="s">
        <v>617</v>
      </c>
      <c r="B372">
        <v>8</v>
      </c>
      <c r="C372" s="1">
        <v>44596</v>
      </c>
      <c r="D372" t="s">
        <v>618</v>
      </c>
      <c r="E372" t="s">
        <v>619</v>
      </c>
      <c r="F372" t="s">
        <v>15</v>
      </c>
      <c r="G372" t="s">
        <v>524</v>
      </c>
      <c r="H372">
        <v>97</v>
      </c>
      <c r="I372">
        <v>2008</v>
      </c>
      <c r="J372" t="s">
        <v>261</v>
      </c>
      <c r="K372">
        <v>7813</v>
      </c>
      <c r="L372" s="1">
        <v>39701</v>
      </c>
      <c r="M372" s="1" t="s">
        <v>3155</v>
      </c>
      <c r="N372" t="s">
        <v>620</v>
      </c>
      <c r="O372" t="s">
        <v>3149</v>
      </c>
    </row>
    <row r="373" spans="1:15" x14ac:dyDescent="0.3">
      <c r="A373" t="s">
        <v>621</v>
      </c>
      <c r="B373">
        <v>7</v>
      </c>
      <c r="C373" s="1">
        <v>45134</v>
      </c>
      <c r="D373" t="s">
        <v>622</v>
      </c>
      <c r="E373" t="s">
        <v>623</v>
      </c>
      <c r="F373" t="s">
        <v>624</v>
      </c>
      <c r="G373" t="s">
        <v>67</v>
      </c>
      <c r="H373">
        <v>74</v>
      </c>
      <c r="I373">
        <v>2021</v>
      </c>
      <c r="J373" t="s">
        <v>96</v>
      </c>
      <c r="K373">
        <v>6931</v>
      </c>
      <c r="L373" s="1">
        <v>44232</v>
      </c>
      <c r="M373" s="1" t="s">
        <v>3165</v>
      </c>
      <c r="N373" t="s">
        <v>625</v>
      </c>
      <c r="O373" t="s">
        <v>3175</v>
      </c>
    </row>
    <row r="374" spans="1:15" x14ac:dyDescent="0.3">
      <c r="A374" t="s">
        <v>626</v>
      </c>
      <c r="B374">
        <v>7</v>
      </c>
      <c r="C374" s="1">
        <v>44238</v>
      </c>
      <c r="D374" t="s">
        <v>627</v>
      </c>
      <c r="E374" t="s">
        <v>628</v>
      </c>
      <c r="F374" t="s">
        <v>15</v>
      </c>
      <c r="G374" t="s">
        <v>524</v>
      </c>
      <c r="H374">
        <v>106</v>
      </c>
      <c r="I374">
        <v>2021</v>
      </c>
      <c r="J374" t="s">
        <v>42</v>
      </c>
      <c r="K374">
        <v>40307</v>
      </c>
      <c r="L374" s="1">
        <v>44225</v>
      </c>
      <c r="M374" s="1" t="s">
        <v>3165</v>
      </c>
      <c r="N374" t="s">
        <v>629</v>
      </c>
      <c r="O374" t="s">
        <v>3149</v>
      </c>
    </row>
    <row r="375" spans="1:15" x14ac:dyDescent="0.3">
      <c r="A375" t="s">
        <v>630</v>
      </c>
      <c r="B375">
        <v>7</v>
      </c>
      <c r="C375" s="1">
        <v>44567</v>
      </c>
      <c r="D375" t="s">
        <v>631</v>
      </c>
      <c r="E375" t="s">
        <v>632</v>
      </c>
      <c r="F375" t="s">
        <v>15</v>
      </c>
      <c r="G375" t="s">
        <v>16</v>
      </c>
      <c r="H375">
        <v>130</v>
      </c>
      <c r="I375">
        <v>2021</v>
      </c>
      <c r="J375" t="s">
        <v>24</v>
      </c>
      <c r="K375">
        <v>48231</v>
      </c>
      <c r="L375" s="1">
        <v>44441</v>
      </c>
      <c r="M375" s="1" t="s">
        <v>3194</v>
      </c>
      <c r="N375" t="s">
        <v>633</v>
      </c>
      <c r="O375" t="s">
        <v>3149</v>
      </c>
    </row>
    <row r="376" spans="1:15" x14ac:dyDescent="0.3">
      <c r="A376" t="s">
        <v>634</v>
      </c>
      <c r="B376">
        <v>8</v>
      </c>
      <c r="C376" s="1">
        <v>45276</v>
      </c>
      <c r="D376" t="s">
        <v>635</v>
      </c>
      <c r="E376" t="s">
        <v>636</v>
      </c>
      <c r="F376" t="s">
        <v>15</v>
      </c>
      <c r="G376" t="s">
        <v>73</v>
      </c>
      <c r="H376">
        <v>138</v>
      </c>
      <c r="I376">
        <v>2023</v>
      </c>
      <c r="J376" t="s">
        <v>178</v>
      </c>
      <c r="K376">
        <v>130712</v>
      </c>
      <c r="L376" s="1">
        <v>45224</v>
      </c>
      <c r="M376" s="1" t="s">
        <v>3165</v>
      </c>
      <c r="N376" t="s">
        <v>637</v>
      </c>
      <c r="O376" t="s">
        <v>3149</v>
      </c>
    </row>
    <row r="377" spans="1:15" x14ac:dyDescent="0.3">
      <c r="A377" t="s">
        <v>638</v>
      </c>
      <c r="B377">
        <v>8</v>
      </c>
      <c r="C377" s="1">
        <v>44602</v>
      </c>
      <c r="D377" t="s">
        <v>639</v>
      </c>
      <c r="E377" t="s">
        <v>640</v>
      </c>
      <c r="F377" t="s">
        <v>15</v>
      </c>
      <c r="G377" t="s">
        <v>79</v>
      </c>
      <c r="H377">
        <v>98</v>
      </c>
      <c r="I377">
        <v>2021</v>
      </c>
      <c r="J377" t="s">
        <v>584</v>
      </c>
      <c r="K377">
        <v>87877</v>
      </c>
      <c r="L377" s="1">
        <v>44441</v>
      </c>
      <c r="M377" s="1" t="s">
        <v>3171</v>
      </c>
      <c r="N377" t="s">
        <v>641</v>
      </c>
      <c r="O377" t="s">
        <v>3149</v>
      </c>
    </row>
    <row r="378" spans="1:15" x14ac:dyDescent="0.3">
      <c r="A378" t="s">
        <v>642</v>
      </c>
      <c r="B378">
        <v>7</v>
      </c>
      <c r="C378" s="1">
        <v>44389</v>
      </c>
      <c r="D378" t="s">
        <v>643</v>
      </c>
      <c r="E378" t="s">
        <v>644</v>
      </c>
      <c r="F378" t="s">
        <v>15</v>
      </c>
      <c r="G378" t="s">
        <v>148</v>
      </c>
      <c r="H378">
        <v>95</v>
      </c>
      <c r="I378">
        <v>2021</v>
      </c>
      <c r="J378" t="s">
        <v>645</v>
      </c>
      <c r="K378">
        <v>186385</v>
      </c>
      <c r="L378" s="1">
        <v>44364</v>
      </c>
      <c r="M378" s="1" t="s">
        <v>3165</v>
      </c>
      <c r="N378" t="s">
        <v>646</v>
      </c>
      <c r="O378" t="s">
        <v>3149</v>
      </c>
    </row>
    <row r="379" spans="1:15" x14ac:dyDescent="0.3">
      <c r="A379" t="s">
        <v>647</v>
      </c>
      <c r="B379">
        <v>6</v>
      </c>
      <c r="C379" s="1">
        <v>44737</v>
      </c>
      <c r="D379" t="s">
        <v>648</v>
      </c>
      <c r="E379" t="s">
        <v>649</v>
      </c>
      <c r="F379" t="s">
        <v>15</v>
      </c>
      <c r="G379" t="s">
        <v>346</v>
      </c>
      <c r="H379">
        <v>96</v>
      </c>
      <c r="I379">
        <v>2009</v>
      </c>
      <c r="J379" t="s">
        <v>261</v>
      </c>
      <c r="K379">
        <v>41534</v>
      </c>
      <c r="L379" s="1">
        <v>40069</v>
      </c>
      <c r="M379" s="1" t="s">
        <v>3165</v>
      </c>
      <c r="N379" t="s">
        <v>650</v>
      </c>
      <c r="O379" t="s">
        <v>3149</v>
      </c>
    </row>
    <row r="380" spans="1:15" x14ac:dyDescent="0.3">
      <c r="A380" t="s">
        <v>651</v>
      </c>
      <c r="B380">
        <v>7</v>
      </c>
      <c r="C380" s="1">
        <v>45180</v>
      </c>
      <c r="D380" t="s">
        <v>652</v>
      </c>
      <c r="E380" t="s">
        <v>653</v>
      </c>
      <c r="F380" t="s">
        <v>15</v>
      </c>
      <c r="G380" t="s">
        <v>158</v>
      </c>
      <c r="H380">
        <v>135</v>
      </c>
      <c r="I380">
        <v>2021</v>
      </c>
      <c r="J380" t="s">
        <v>24</v>
      </c>
      <c r="K380">
        <v>1421</v>
      </c>
      <c r="L380" s="1">
        <v>44473</v>
      </c>
      <c r="M380" s="1" t="s">
        <v>3166</v>
      </c>
      <c r="N380" t="s">
        <v>654</v>
      </c>
      <c r="O380" t="s">
        <v>3149</v>
      </c>
    </row>
    <row r="381" spans="1:15" x14ac:dyDescent="0.3">
      <c r="A381" t="s">
        <v>655</v>
      </c>
      <c r="B381">
        <v>6</v>
      </c>
      <c r="C381" s="1">
        <v>44496</v>
      </c>
      <c r="D381" t="s">
        <v>656</v>
      </c>
      <c r="E381" t="s">
        <v>657</v>
      </c>
      <c r="F381" t="s">
        <v>47</v>
      </c>
      <c r="G381" t="s">
        <v>148</v>
      </c>
      <c r="H381">
        <v>26</v>
      </c>
      <c r="I381">
        <v>2020</v>
      </c>
      <c r="J381" t="s">
        <v>199</v>
      </c>
      <c r="K381">
        <v>32</v>
      </c>
      <c r="L381" s="1">
        <v>44067</v>
      </c>
      <c r="M381" s="1" t="s">
        <v>3154</v>
      </c>
      <c r="N381" t="s">
        <v>658</v>
      </c>
      <c r="O381" t="s">
        <v>3175</v>
      </c>
    </row>
    <row r="382" spans="1:15" x14ac:dyDescent="0.3">
      <c r="A382" t="s">
        <v>659</v>
      </c>
      <c r="B382">
        <v>5</v>
      </c>
      <c r="C382" s="1">
        <v>44496</v>
      </c>
      <c r="D382" t="s">
        <v>660</v>
      </c>
      <c r="E382" t="s">
        <v>661</v>
      </c>
      <c r="F382" t="s">
        <v>47</v>
      </c>
      <c r="G382" t="s">
        <v>198</v>
      </c>
      <c r="H382">
        <v>6</v>
      </c>
      <c r="I382">
        <v>2020</v>
      </c>
      <c r="J382" t="s">
        <v>662</v>
      </c>
      <c r="K382">
        <v>79</v>
      </c>
      <c r="L382" s="1">
        <v>44051</v>
      </c>
      <c r="M382" s="1" t="s">
        <v>3154</v>
      </c>
      <c r="N382" t="s">
        <v>663</v>
      </c>
      <c r="O382" t="s">
        <v>3149</v>
      </c>
    </row>
    <row r="383" spans="1:15" x14ac:dyDescent="0.3">
      <c r="A383" t="s">
        <v>664</v>
      </c>
      <c r="B383">
        <v>7</v>
      </c>
      <c r="C383" s="1">
        <v>44496</v>
      </c>
      <c r="D383" t="s">
        <v>665</v>
      </c>
      <c r="E383" t="s">
        <v>666</v>
      </c>
      <c r="F383" t="s">
        <v>47</v>
      </c>
      <c r="G383" t="s">
        <v>143</v>
      </c>
      <c r="H383">
        <v>19</v>
      </c>
      <c r="I383">
        <v>2020</v>
      </c>
      <c r="J383" t="s">
        <v>667</v>
      </c>
      <c r="K383">
        <v>16</v>
      </c>
      <c r="L383" s="1">
        <v>44052</v>
      </c>
      <c r="M383" s="1" t="s">
        <v>3154</v>
      </c>
      <c r="N383" t="s">
        <v>668</v>
      </c>
      <c r="O383" t="s">
        <v>3149</v>
      </c>
    </row>
    <row r="384" spans="1:15" x14ac:dyDescent="0.3">
      <c r="A384" t="s">
        <v>669</v>
      </c>
      <c r="B384">
        <v>8</v>
      </c>
      <c r="C384" s="1">
        <v>43833</v>
      </c>
      <c r="D384" t="s">
        <v>670</v>
      </c>
      <c r="E384" t="s">
        <v>671</v>
      </c>
      <c r="F384" t="s">
        <v>15</v>
      </c>
      <c r="G384" t="s">
        <v>61</v>
      </c>
      <c r="H384">
        <v>209</v>
      </c>
      <c r="I384">
        <v>2019</v>
      </c>
      <c r="J384" t="s">
        <v>672</v>
      </c>
      <c r="K384">
        <v>421956</v>
      </c>
      <c r="L384" s="1">
        <v>43735</v>
      </c>
      <c r="M384" s="1" t="s">
        <v>3165</v>
      </c>
      <c r="N384" t="s">
        <v>371</v>
      </c>
      <c r="O384" t="s">
        <v>3149</v>
      </c>
    </row>
    <row r="385" spans="1:15" x14ac:dyDescent="0.3">
      <c r="A385" t="s">
        <v>678</v>
      </c>
      <c r="B385">
        <v>6</v>
      </c>
      <c r="C385" s="1">
        <v>44180</v>
      </c>
      <c r="D385" t="s">
        <v>679</v>
      </c>
      <c r="E385" t="s">
        <v>680</v>
      </c>
      <c r="F385" t="s">
        <v>15</v>
      </c>
      <c r="G385" t="s">
        <v>524</v>
      </c>
      <c r="H385">
        <v>95</v>
      </c>
      <c r="I385">
        <v>2020</v>
      </c>
      <c r="J385" t="s">
        <v>235</v>
      </c>
      <c r="K385">
        <v>150837</v>
      </c>
      <c r="L385" s="1">
        <v>44127</v>
      </c>
      <c r="M385" s="1" t="s">
        <v>3165</v>
      </c>
      <c r="N385" t="s">
        <v>681</v>
      </c>
      <c r="O385" t="s">
        <v>3149</v>
      </c>
    </row>
    <row r="386" spans="1:15" x14ac:dyDescent="0.3">
      <c r="A386" t="s">
        <v>682</v>
      </c>
      <c r="B386">
        <v>7</v>
      </c>
      <c r="C386" s="1">
        <v>44820</v>
      </c>
      <c r="D386" t="s">
        <v>683</v>
      </c>
      <c r="E386" t="s">
        <v>684</v>
      </c>
      <c r="F386" t="s">
        <v>15</v>
      </c>
      <c r="G386" t="s">
        <v>148</v>
      </c>
      <c r="H386">
        <v>73</v>
      </c>
      <c r="I386">
        <v>2021</v>
      </c>
      <c r="J386" t="s">
        <v>517</v>
      </c>
      <c r="K386">
        <v>16780</v>
      </c>
      <c r="L386" s="1">
        <v>44349</v>
      </c>
      <c r="M386" s="1" t="s">
        <v>3155</v>
      </c>
      <c r="N386" t="s">
        <v>685</v>
      </c>
      <c r="O386" t="s">
        <v>3175</v>
      </c>
    </row>
    <row r="387" spans="1:15" x14ac:dyDescent="0.3">
      <c r="A387" t="s">
        <v>686</v>
      </c>
      <c r="B387">
        <v>6</v>
      </c>
      <c r="C387" s="1">
        <v>45259</v>
      </c>
      <c r="D387" t="s">
        <v>687</v>
      </c>
      <c r="E387" t="s">
        <v>688</v>
      </c>
      <c r="F387" t="s">
        <v>47</v>
      </c>
      <c r="G387" t="s">
        <v>346</v>
      </c>
      <c r="H387">
        <v>18</v>
      </c>
      <c r="I387">
        <v>2020</v>
      </c>
      <c r="J387" t="s">
        <v>199</v>
      </c>
      <c r="K387">
        <v>10</v>
      </c>
      <c r="L387" s="1">
        <v>43879</v>
      </c>
      <c r="M387" s="1" t="s">
        <v>3165</v>
      </c>
      <c r="N387" t="s">
        <v>689</v>
      </c>
      <c r="O387" t="s">
        <v>3175</v>
      </c>
    </row>
    <row r="388" spans="1:15" x14ac:dyDescent="0.3">
      <c r="A388" t="s">
        <v>690</v>
      </c>
      <c r="B388">
        <v>5</v>
      </c>
      <c r="C388" s="1">
        <v>44880</v>
      </c>
      <c r="D388" t="s">
        <v>691</v>
      </c>
      <c r="E388" t="s">
        <v>692</v>
      </c>
      <c r="F388" t="s">
        <v>15</v>
      </c>
      <c r="G388" t="s">
        <v>105</v>
      </c>
      <c r="H388">
        <v>87</v>
      </c>
      <c r="I388">
        <v>2022</v>
      </c>
      <c r="J388" t="s">
        <v>693</v>
      </c>
      <c r="K388">
        <v>1281</v>
      </c>
      <c r="L388" s="1">
        <v>44583</v>
      </c>
      <c r="M388" s="1" t="s">
        <v>3165</v>
      </c>
      <c r="N388" t="s">
        <v>694</v>
      </c>
      <c r="O388" t="s">
        <v>3175</v>
      </c>
    </row>
    <row r="389" spans="1:15" x14ac:dyDescent="0.3">
      <c r="A389" t="s">
        <v>695</v>
      </c>
      <c r="B389">
        <v>5</v>
      </c>
      <c r="C389" s="1">
        <v>45232</v>
      </c>
      <c r="D389" t="s">
        <v>696</v>
      </c>
      <c r="E389" t="s">
        <v>697</v>
      </c>
      <c r="F389" t="s">
        <v>15</v>
      </c>
      <c r="G389" t="s">
        <v>116</v>
      </c>
      <c r="H389">
        <v>118</v>
      </c>
      <c r="I389">
        <v>2022</v>
      </c>
      <c r="J389" t="s">
        <v>698</v>
      </c>
      <c r="K389">
        <v>48111</v>
      </c>
      <c r="L389" s="1">
        <v>44820</v>
      </c>
      <c r="M389" s="1" t="s">
        <v>3165</v>
      </c>
      <c r="N389" t="s">
        <v>699</v>
      </c>
      <c r="O389" t="s">
        <v>3175</v>
      </c>
    </row>
    <row r="390" spans="1:15" x14ac:dyDescent="0.3">
      <c r="A390" t="s">
        <v>700</v>
      </c>
      <c r="B390">
        <v>7</v>
      </c>
      <c r="C390" s="1">
        <v>44907</v>
      </c>
      <c r="D390" t="s">
        <v>701</v>
      </c>
      <c r="E390" t="s">
        <v>702</v>
      </c>
      <c r="F390" t="s">
        <v>15</v>
      </c>
      <c r="G390" t="s">
        <v>41</v>
      </c>
      <c r="H390">
        <v>86</v>
      </c>
      <c r="I390">
        <v>2009</v>
      </c>
      <c r="J390" t="s">
        <v>703</v>
      </c>
      <c r="K390">
        <v>10186</v>
      </c>
      <c r="L390" s="1">
        <v>39830</v>
      </c>
      <c r="M390" s="1" t="s">
        <v>3165</v>
      </c>
      <c r="N390" t="s">
        <v>704</v>
      </c>
      <c r="O390" t="s">
        <v>3149</v>
      </c>
    </row>
    <row r="391" spans="1:15" x14ac:dyDescent="0.3">
      <c r="A391" t="s">
        <v>705</v>
      </c>
      <c r="B391">
        <v>7</v>
      </c>
      <c r="C391" s="1">
        <v>44989</v>
      </c>
      <c r="D391" t="s">
        <v>706</v>
      </c>
      <c r="E391" t="s">
        <v>707</v>
      </c>
      <c r="F391" t="s">
        <v>708</v>
      </c>
      <c r="G391" t="s">
        <v>187</v>
      </c>
      <c r="H391">
        <v>8</v>
      </c>
      <c r="I391">
        <v>2020</v>
      </c>
      <c r="J391" t="s">
        <v>597</v>
      </c>
      <c r="K391">
        <v>369</v>
      </c>
      <c r="L391" s="1">
        <v>43856</v>
      </c>
      <c r="M391" s="1" t="s">
        <v>3176</v>
      </c>
      <c r="N391" t="s">
        <v>709</v>
      </c>
      <c r="O391" t="s">
        <v>3149</v>
      </c>
    </row>
    <row r="392" spans="1:15" x14ac:dyDescent="0.3">
      <c r="A392" t="s">
        <v>714</v>
      </c>
      <c r="B392">
        <v>6</v>
      </c>
      <c r="C392" s="1">
        <v>45258</v>
      </c>
      <c r="D392" t="s">
        <v>715</v>
      </c>
      <c r="E392" t="s">
        <v>716</v>
      </c>
      <c r="F392" t="s">
        <v>15</v>
      </c>
      <c r="G392" t="s">
        <v>524</v>
      </c>
      <c r="H392">
        <v>82</v>
      </c>
      <c r="I392">
        <v>2020</v>
      </c>
      <c r="J392" t="s">
        <v>96</v>
      </c>
      <c r="K392">
        <v>14</v>
      </c>
      <c r="L392" s="1">
        <v>44034</v>
      </c>
      <c r="M392" s="1" t="s">
        <v>3200</v>
      </c>
      <c r="N392" t="s">
        <v>717</v>
      </c>
      <c r="O392" t="s">
        <v>3175</v>
      </c>
    </row>
    <row r="393" spans="1:15" x14ac:dyDescent="0.3">
      <c r="A393" t="s">
        <v>718</v>
      </c>
      <c r="B393">
        <v>6</v>
      </c>
      <c r="C393" s="1">
        <v>44879</v>
      </c>
      <c r="D393" t="s">
        <v>719</v>
      </c>
      <c r="E393" t="s">
        <v>720</v>
      </c>
      <c r="F393" t="s">
        <v>15</v>
      </c>
      <c r="G393" t="s">
        <v>79</v>
      </c>
      <c r="H393">
        <v>143</v>
      </c>
      <c r="I393">
        <v>2013</v>
      </c>
      <c r="J393" t="s">
        <v>42</v>
      </c>
      <c r="K393">
        <v>584890</v>
      </c>
      <c r="L393" s="1">
        <v>41395</v>
      </c>
      <c r="M393" s="1" t="s">
        <v>3165</v>
      </c>
      <c r="N393" t="s">
        <v>721</v>
      </c>
      <c r="O393" t="s">
        <v>3149</v>
      </c>
    </row>
    <row r="394" spans="1:15" x14ac:dyDescent="0.3">
      <c r="A394" t="s">
        <v>722</v>
      </c>
      <c r="B394">
        <v>7</v>
      </c>
      <c r="C394" s="1">
        <v>44895</v>
      </c>
      <c r="D394" t="s">
        <v>723</v>
      </c>
      <c r="E394" t="s">
        <v>724</v>
      </c>
      <c r="F394" t="s">
        <v>216</v>
      </c>
      <c r="G394" t="s">
        <v>334</v>
      </c>
      <c r="H394">
        <f>45*9</f>
        <v>405</v>
      </c>
      <c r="I394">
        <v>2022</v>
      </c>
      <c r="J394" t="s">
        <v>725</v>
      </c>
      <c r="K394">
        <v>344062</v>
      </c>
      <c r="L394" s="1">
        <v>44865</v>
      </c>
      <c r="M394" s="1" t="s">
        <v>3165</v>
      </c>
      <c r="N394" t="s">
        <v>3037</v>
      </c>
      <c r="O394" t="s">
        <v>3149</v>
      </c>
    </row>
    <row r="395" spans="1:15" x14ac:dyDescent="0.3">
      <c r="A395" t="s">
        <v>726</v>
      </c>
      <c r="B395">
        <v>7</v>
      </c>
      <c r="C395" s="1">
        <v>44712</v>
      </c>
      <c r="D395" t="s">
        <v>727</v>
      </c>
      <c r="E395" t="s">
        <v>728</v>
      </c>
      <c r="F395" t="s">
        <v>15</v>
      </c>
      <c r="G395" t="s">
        <v>198</v>
      </c>
      <c r="H395">
        <v>130</v>
      </c>
      <c r="I395">
        <v>2021</v>
      </c>
      <c r="J395" t="s">
        <v>261</v>
      </c>
      <c r="K395">
        <v>30560</v>
      </c>
      <c r="L395" s="1">
        <v>44391</v>
      </c>
      <c r="M395" s="1" t="s">
        <v>3165</v>
      </c>
      <c r="N395" t="s">
        <v>729</v>
      </c>
      <c r="O395" t="s">
        <v>3149</v>
      </c>
    </row>
    <row r="396" spans="1:15" x14ac:dyDescent="0.3">
      <c r="A396" t="s">
        <v>730</v>
      </c>
      <c r="B396">
        <v>7</v>
      </c>
      <c r="C396" s="1">
        <v>45119</v>
      </c>
      <c r="D396" t="s">
        <v>731</v>
      </c>
      <c r="E396" t="s">
        <v>732</v>
      </c>
      <c r="F396" t="s">
        <v>15</v>
      </c>
      <c r="G396" t="s">
        <v>158</v>
      </c>
      <c r="H396">
        <v>179</v>
      </c>
      <c r="I396">
        <v>2023</v>
      </c>
      <c r="J396" t="s">
        <v>733</v>
      </c>
      <c r="K396">
        <v>50334</v>
      </c>
      <c r="L396" s="1">
        <v>45017</v>
      </c>
      <c r="M396" s="1" t="s">
        <v>3165</v>
      </c>
      <c r="N396" t="s">
        <v>734</v>
      </c>
      <c r="O396" t="s">
        <v>3149</v>
      </c>
    </row>
    <row r="397" spans="1:15" x14ac:dyDescent="0.3">
      <c r="A397" t="s">
        <v>735</v>
      </c>
      <c r="B397">
        <v>7</v>
      </c>
      <c r="C397" s="1">
        <v>44941</v>
      </c>
      <c r="D397" t="s">
        <v>736</v>
      </c>
      <c r="E397" t="s">
        <v>737</v>
      </c>
      <c r="F397" t="s">
        <v>15</v>
      </c>
      <c r="G397" t="s">
        <v>73</v>
      </c>
      <c r="H397">
        <v>105</v>
      </c>
      <c r="I397">
        <v>2022</v>
      </c>
      <c r="J397" t="s">
        <v>738</v>
      </c>
      <c r="K397">
        <v>158190</v>
      </c>
      <c r="L397" s="1">
        <v>44633</v>
      </c>
      <c r="M397" s="1" t="s">
        <v>3165</v>
      </c>
      <c r="N397" t="s">
        <v>739</v>
      </c>
      <c r="O397" t="s">
        <v>3149</v>
      </c>
    </row>
    <row r="398" spans="1:15" x14ac:dyDescent="0.3">
      <c r="A398" t="s">
        <v>740</v>
      </c>
      <c r="B398">
        <v>4</v>
      </c>
      <c r="C398" s="1">
        <v>44458</v>
      </c>
      <c r="D398" t="s">
        <v>741</v>
      </c>
      <c r="E398" t="s">
        <v>742</v>
      </c>
      <c r="F398" t="s">
        <v>15</v>
      </c>
      <c r="G398" t="s">
        <v>346</v>
      </c>
      <c r="H398">
        <v>95</v>
      </c>
      <c r="I398">
        <v>2021</v>
      </c>
      <c r="J398" t="s">
        <v>743</v>
      </c>
      <c r="K398">
        <v>2085</v>
      </c>
      <c r="L398" s="1">
        <v>44225</v>
      </c>
      <c r="M398" s="1" t="s">
        <v>3165</v>
      </c>
      <c r="N398" t="s">
        <v>744</v>
      </c>
      <c r="O398" t="s">
        <v>3149</v>
      </c>
    </row>
    <row r="399" spans="1:15" x14ac:dyDescent="0.3">
      <c r="A399" t="s">
        <v>745</v>
      </c>
      <c r="B399">
        <v>5</v>
      </c>
      <c r="C399" s="1">
        <v>45266</v>
      </c>
      <c r="D399" t="s">
        <v>746</v>
      </c>
      <c r="E399" t="s">
        <v>747</v>
      </c>
      <c r="F399" t="s">
        <v>15</v>
      </c>
      <c r="G399" t="s">
        <v>95</v>
      </c>
      <c r="H399">
        <v>117</v>
      </c>
      <c r="I399">
        <v>2023</v>
      </c>
      <c r="J399" t="s">
        <v>261</v>
      </c>
      <c r="K399">
        <v>26464</v>
      </c>
      <c r="L399" s="1">
        <v>45066</v>
      </c>
      <c r="M399" s="1" t="s">
        <v>3165</v>
      </c>
      <c r="N399" t="s">
        <v>557</v>
      </c>
      <c r="O399" t="s">
        <v>3149</v>
      </c>
    </row>
    <row r="400" spans="1:15" x14ac:dyDescent="0.3">
      <c r="A400" t="s">
        <v>752</v>
      </c>
      <c r="B400">
        <v>7</v>
      </c>
      <c r="C400" s="1">
        <v>44009</v>
      </c>
      <c r="D400" t="s">
        <v>753</v>
      </c>
      <c r="E400" t="s">
        <v>754</v>
      </c>
      <c r="F400" t="s">
        <v>15</v>
      </c>
      <c r="G400" t="s">
        <v>751</v>
      </c>
      <c r="H400">
        <v>148</v>
      </c>
      <c r="I400">
        <v>2010</v>
      </c>
      <c r="J400" t="s">
        <v>755</v>
      </c>
      <c r="K400">
        <v>2501757</v>
      </c>
      <c r="L400" s="1">
        <v>40367</v>
      </c>
      <c r="M400" s="1" t="s">
        <v>3165</v>
      </c>
      <c r="N400" t="s">
        <v>756</v>
      </c>
      <c r="O400" t="s">
        <v>3149</v>
      </c>
    </row>
    <row r="401" spans="1:15" x14ac:dyDescent="0.3">
      <c r="A401" t="s">
        <v>757</v>
      </c>
      <c r="B401">
        <v>7</v>
      </c>
      <c r="C401" s="1">
        <v>44990</v>
      </c>
      <c r="D401" t="s">
        <v>758</v>
      </c>
      <c r="E401" t="s">
        <v>759</v>
      </c>
      <c r="F401" t="s">
        <v>15</v>
      </c>
      <c r="G401" t="s">
        <v>84</v>
      </c>
      <c r="H401">
        <v>117</v>
      </c>
      <c r="I401">
        <v>2022</v>
      </c>
      <c r="J401" t="s">
        <v>24</v>
      </c>
      <c r="K401">
        <v>195521</v>
      </c>
      <c r="L401" s="1">
        <v>44808</v>
      </c>
      <c r="M401" s="1" t="s">
        <v>3165</v>
      </c>
      <c r="N401" t="s">
        <v>760</v>
      </c>
      <c r="O401" t="s">
        <v>3149</v>
      </c>
    </row>
    <row r="402" spans="1:15" x14ac:dyDescent="0.3">
      <c r="A402" t="s">
        <v>761</v>
      </c>
      <c r="B402">
        <v>7</v>
      </c>
      <c r="C402" s="1">
        <v>45249</v>
      </c>
      <c r="D402" t="s">
        <v>762</v>
      </c>
      <c r="E402" t="s">
        <v>763</v>
      </c>
      <c r="F402" t="s">
        <v>22</v>
      </c>
      <c r="G402" t="s">
        <v>187</v>
      </c>
      <c r="H402">
        <f>46+50+47+45+43+45+45+41</f>
        <v>362</v>
      </c>
      <c r="I402">
        <v>2023</v>
      </c>
      <c r="J402" t="s">
        <v>24</v>
      </c>
      <c r="K402">
        <v>22189</v>
      </c>
      <c r="L402" s="1">
        <v>45211</v>
      </c>
      <c r="M402" s="1" t="s">
        <v>3165</v>
      </c>
      <c r="N402" t="s">
        <v>25</v>
      </c>
    </row>
    <row r="403" spans="1:15" x14ac:dyDescent="0.3">
      <c r="A403" t="s">
        <v>764</v>
      </c>
      <c r="B403">
        <v>7</v>
      </c>
      <c r="C403" s="1">
        <v>44428</v>
      </c>
      <c r="D403" t="s">
        <v>765</v>
      </c>
      <c r="E403" t="s">
        <v>766</v>
      </c>
      <c r="F403" t="s">
        <v>15</v>
      </c>
      <c r="G403" t="s">
        <v>79</v>
      </c>
      <c r="H403">
        <v>122</v>
      </c>
      <c r="I403">
        <v>2021</v>
      </c>
      <c r="J403" t="s">
        <v>24</v>
      </c>
      <c r="K403">
        <v>1556</v>
      </c>
      <c r="L403" s="1">
        <v>44319</v>
      </c>
      <c r="M403" s="1" t="s">
        <v>3154</v>
      </c>
      <c r="N403" t="s">
        <v>767</v>
      </c>
      <c r="O403" t="s">
        <v>3175</v>
      </c>
    </row>
    <row r="404" spans="1:15" x14ac:dyDescent="0.3">
      <c r="A404" t="s">
        <v>768</v>
      </c>
      <c r="B404">
        <v>5</v>
      </c>
      <c r="C404" s="1">
        <v>44496</v>
      </c>
      <c r="D404" t="s">
        <v>769</v>
      </c>
      <c r="E404" t="s">
        <v>770</v>
      </c>
      <c r="F404" t="s">
        <v>47</v>
      </c>
      <c r="G404" t="s">
        <v>116</v>
      </c>
      <c r="H404">
        <v>10</v>
      </c>
      <c r="I404">
        <v>2021</v>
      </c>
      <c r="J404" t="s">
        <v>771</v>
      </c>
      <c r="K404">
        <v>511</v>
      </c>
      <c r="L404" s="1">
        <v>44271</v>
      </c>
      <c r="M404" s="1" t="s">
        <v>3154</v>
      </c>
      <c r="N404" t="s">
        <v>772</v>
      </c>
      <c r="O404" t="s">
        <v>3175</v>
      </c>
    </row>
    <row r="405" spans="1:15" x14ac:dyDescent="0.3">
      <c r="A405" t="s">
        <v>773</v>
      </c>
      <c r="B405">
        <v>6</v>
      </c>
      <c r="C405" s="1">
        <v>44390</v>
      </c>
      <c r="D405" t="s">
        <v>774</v>
      </c>
      <c r="E405" t="s">
        <v>775</v>
      </c>
      <c r="F405" t="s">
        <v>15</v>
      </c>
      <c r="G405" t="s">
        <v>73</v>
      </c>
      <c r="H405">
        <v>106</v>
      </c>
      <c r="I405">
        <v>2021</v>
      </c>
      <c r="J405" t="s">
        <v>261</v>
      </c>
      <c r="K405">
        <v>10113</v>
      </c>
      <c r="L405" s="1">
        <v>44265</v>
      </c>
      <c r="M405" s="1" t="s">
        <v>3212</v>
      </c>
      <c r="N405" t="s">
        <v>776</v>
      </c>
      <c r="O405" t="s">
        <v>3149</v>
      </c>
    </row>
    <row r="406" spans="1:15" x14ac:dyDescent="0.3">
      <c r="A406" t="s">
        <v>777</v>
      </c>
      <c r="B406">
        <v>7</v>
      </c>
      <c r="C406" s="1">
        <v>44938</v>
      </c>
      <c r="D406" t="s">
        <v>778</v>
      </c>
      <c r="E406" t="s">
        <v>779</v>
      </c>
      <c r="F406" t="s">
        <v>15</v>
      </c>
      <c r="G406" t="s">
        <v>524</v>
      </c>
      <c r="H406">
        <v>128</v>
      </c>
      <c r="I406">
        <v>2022</v>
      </c>
      <c r="J406" t="s">
        <v>780</v>
      </c>
      <c r="K406">
        <v>119448</v>
      </c>
      <c r="L406" s="1">
        <v>44909</v>
      </c>
      <c r="M406" s="1" t="s">
        <v>3165</v>
      </c>
      <c r="N406" t="s">
        <v>781</v>
      </c>
      <c r="O406" t="s">
        <v>3149</v>
      </c>
    </row>
    <row r="407" spans="1:15" x14ac:dyDescent="0.3">
      <c r="A407" t="s">
        <v>782</v>
      </c>
      <c r="B407">
        <v>6</v>
      </c>
      <c r="C407" s="1">
        <v>45169</v>
      </c>
      <c r="D407" t="s">
        <v>783</v>
      </c>
      <c r="E407" t="s">
        <v>784</v>
      </c>
      <c r="F407" t="s">
        <v>47</v>
      </c>
      <c r="G407" t="s">
        <v>16</v>
      </c>
      <c r="H407">
        <v>10</v>
      </c>
      <c r="I407">
        <v>2021</v>
      </c>
      <c r="J407" t="s">
        <v>48</v>
      </c>
      <c r="K407">
        <v>12</v>
      </c>
      <c r="L407" s="1">
        <v>44282</v>
      </c>
      <c r="M407" s="1" t="s">
        <v>3154</v>
      </c>
      <c r="N407" t="s">
        <v>785</v>
      </c>
      <c r="O407" t="s">
        <v>3175</v>
      </c>
    </row>
    <row r="408" spans="1:15" x14ac:dyDescent="0.3">
      <c r="A408" t="s">
        <v>786</v>
      </c>
      <c r="B408">
        <v>7</v>
      </c>
      <c r="C408" s="1">
        <v>45154</v>
      </c>
      <c r="D408" t="s">
        <v>787</v>
      </c>
      <c r="E408" t="s">
        <v>788</v>
      </c>
      <c r="F408" t="s">
        <v>15</v>
      </c>
      <c r="G408" t="s">
        <v>16</v>
      </c>
      <c r="H408">
        <v>145</v>
      </c>
      <c r="I408">
        <v>2011</v>
      </c>
      <c r="J408" t="s">
        <v>193</v>
      </c>
      <c r="K408">
        <v>11099</v>
      </c>
      <c r="L408" s="1">
        <v>40788</v>
      </c>
      <c r="M408" s="1" t="s">
        <v>3166</v>
      </c>
      <c r="N408" t="s">
        <v>789</v>
      </c>
      <c r="O408" t="s">
        <v>3175</v>
      </c>
    </row>
    <row r="409" spans="1:15" x14ac:dyDescent="0.3">
      <c r="A409" t="s">
        <v>790</v>
      </c>
      <c r="B409">
        <v>7</v>
      </c>
      <c r="C409" s="1">
        <v>44928</v>
      </c>
      <c r="D409" t="s">
        <v>791</v>
      </c>
      <c r="E409" t="s">
        <v>792</v>
      </c>
      <c r="F409" t="s">
        <v>15</v>
      </c>
      <c r="G409" t="s">
        <v>56</v>
      </c>
      <c r="H409">
        <v>151</v>
      </c>
      <c r="I409">
        <v>2022</v>
      </c>
      <c r="J409" t="s">
        <v>24</v>
      </c>
      <c r="K409">
        <v>110199</v>
      </c>
      <c r="L409" s="1">
        <v>44814</v>
      </c>
      <c r="M409" s="1" t="s">
        <v>3165</v>
      </c>
      <c r="N409" t="s">
        <v>272</v>
      </c>
      <c r="O409" t="s">
        <v>3149</v>
      </c>
    </row>
    <row r="410" spans="1:15" x14ac:dyDescent="0.3">
      <c r="A410" t="s">
        <v>793</v>
      </c>
      <c r="B410">
        <v>7</v>
      </c>
      <c r="C410" s="1">
        <v>45168</v>
      </c>
      <c r="D410" t="s">
        <v>794</v>
      </c>
      <c r="E410" t="s">
        <v>795</v>
      </c>
      <c r="F410" t="s">
        <v>15</v>
      </c>
      <c r="G410" t="s">
        <v>116</v>
      </c>
      <c r="H410">
        <v>97</v>
      </c>
      <c r="I410">
        <v>2010</v>
      </c>
      <c r="J410" t="s">
        <v>17</v>
      </c>
      <c r="K410">
        <v>46355</v>
      </c>
      <c r="L410" s="1">
        <v>40424</v>
      </c>
      <c r="M410" s="1" t="s">
        <v>3165</v>
      </c>
      <c r="N410" t="s">
        <v>796</v>
      </c>
      <c r="O410" t="s">
        <v>3149</v>
      </c>
    </row>
    <row r="411" spans="1:15" x14ac:dyDescent="0.3">
      <c r="A411" t="s">
        <v>797</v>
      </c>
      <c r="B411">
        <v>6</v>
      </c>
      <c r="C411" s="1">
        <v>44451</v>
      </c>
      <c r="D411" t="s">
        <v>798</v>
      </c>
      <c r="E411" t="s">
        <v>799</v>
      </c>
      <c r="F411" t="s">
        <v>15</v>
      </c>
      <c r="G411" t="s">
        <v>25</v>
      </c>
      <c r="H411">
        <v>91</v>
      </c>
      <c r="I411">
        <v>2019</v>
      </c>
      <c r="J411" t="s">
        <v>467</v>
      </c>
      <c r="L411" s="1">
        <v>43595</v>
      </c>
      <c r="M411" s="1" t="s">
        <v>3154</v>
      </c>
      <c r="N411" t="s">
        <v>800</v>
      </c>
      <c r="O411" t="s">
        <v>3175</v>
      </c>
    </row>
    <row r="412" spans="1:15" x14ac:dyDescent="0.3">
      <c r="A412" t="s">
        <v>801</v>
      </c>
      <c r="B412">
        <v>6</v>
      </c>
      <c r="C412" s="1">
        <v>44941</v>
      </c>
      <c r="D412" t="s">
        <v>802</v>
      </c>
      <c r="E412" t="s">
        <v>803</v>
      </c>
      <c r="F412" t="s">
        <v>15</v>
      </c>
      <c r="G412" t="s">
        <v>524</v>
      </c>
      <c r="H412">
        <v>126</v>
      </c>
      <c r="I412">
        <v>2022</v>
      </c>
      <c r="J412" t="s">
        <v>42</v>
      </c>
      <c r="K412">
        <v>21816</v>
      </c>
      <c r="L412" s="1">
        <v>44806</v>
      </c>
      <c r="M412" s="1" t="s">
        <v>3171</v>
      </c>
      <c r="N412" t="s">
        <v>804</v>
      </c>
      <c r="O412" t="s">
        <v>3175</v>
      </c>
    </row>
    <row r="413" spans="1:15" x14ac:dyDescent="0.3">
      <c r="A413" t="s">
        <v>805</v>
      </c>
      <c r="B413">
        <v>8</v>
      </c>
      <c r="C413" s="1">
        <v>44943</v>
      </c>
      <c r="D413" t="s">
        <v>806</v>
      </c>
      <c r="E413" t="s">
        <v>807</v>
      </c>
      <c r="F413" t="s">
        <v>15</v>
      </c>
      <c r="G413" t="s">
        <v>16</v>
      </c>
      <c r="H413">
        <v>107</v>
      </c>
      <c r="I413">
        <v>2022</v>
      </c>
      <c r="J413" t="s">
        <v>261</v>
      </c>
      <c r="K413">
        <v>25316</v>
      </c>
      <c r="L413" s="1">
        <v>44584</v>
      </c>
      <c r="M413" s="1" t="s">
        <v>3165</v>
      </c>
      <c r="N413" t="s">
        <v>808</v>
      </c>
      <c r="O413" t="s">
        <v>3149</v>
      </c>
    </row>
    <row r="414" spans="1:15" x14ac:dyDescent="0.3">
      <c r="A414" t="s">
        <v>814</v>
      </c>
      <c r="B414">
        <v>8</v>
      </c>
      <c r="C414" s="1">
        <v>44641</v>
      </c>
      <c r="D414" t="s">
        <v>815</v>
      </c>
      <c r="E414" t="s">
        <v>816</v>
      </c>
      <c r="F414" t="s">
        <v>15</v>
      </c>
      <c r="G414" t="s">
        <v>116</v>
      </c>
      <c r="H414">
        <v>108</v>
      </c>
      <c r="I414">
        <v>2013</v>
      </c>
      <c r="J414" t="s">
        <v>487</v>
      </c>
      <c r="K414">
        <v>154264</v>
      </c>
      <c r="L414" s="1">
        <v>41515</v>
      </c>
      <c r="M414" s="1" t="s">
        <v>3171</v>
      </c>
      <c r="N414" t="s">
        <v>817</v>
      </c>
      <c r="O414" t="s">
        <v>3149</v>
      </c>
    </row>
    <row r="415" spans="1:15" x14ac:dyDescent="0.3">
      <c r="A415" t="s">
        <v>827</v>
      </c>
      <c r="B415">
        <v>5</v>
      </c>
      <c r="C415" s="1">
        <v>44934</v>
      </c>
      <c r="D415" t="s">
        <v>828</v>
      </c>
      <c r="E415" t="s">
        <v>829</v>
      </c>
      <c r="F415" t="s">
        <v>15</v>
      </c>
      <c r="G415" t="s">
        <v>148</v>
      </c>
      <c r="H415">
        <v>158</v>
      </c>
      <c r="I415">
        <v>2022</v>
      </c>
      <c r="J415" t="s">
        <v>556</v>
      </c>
      <c r="K415">
        <v>88163</v>
      </c>
      <c r="L415" s="1">
        <v>44805</v>
      </c>
      <c r="M415" s="1" t="s">
        <v>3165</v>
      </c>
      <c r="N415" t="s">
        <v>830</v>
      </c>
      <c r="O415" t="s">
        <v>3149</v>
      </c>
    </row>
    <row r="416" spans="1:15" x14ac:dyDescent="0.3">
      <c r="A416" t="s">
        <v>831</v>
      </c>
      <c r="B416">
        <v>9</v>
      </c>
      <c r="C416" s="1">
        <v>44199</v>
      </c>
      <c r="D416" t="s">
        <v>832</v>
      </c>
      <c r="E416" t="s">
        <v>833</v>
      </c>
      <c r="F416" t="s">
        <v>15</v>
      </c>
      <c r="G416" t="s">
        <v>95</v>
      </c>
      <c r="H416">
        <v>97</v>
      </c>
      <c r="I416">
        <v>2013</v>
      </c>
      <c r="J416" t="s">
        <v>834</v>
      </c>
      <c r="K416">
        <v>114610</v>
      </c>
      <c r="L416" s="1">
        <v>41533</v>
      </c>
      <c r="M416" s="1" t="s">
        <v>3171</v>
      </c>
      <c r="N416" t="s">
        <v>835</v>
      </c>
      <c r="O416" t="s">
        <v>3149</v>
      </c>
    </row>
    <row r="417" spans="1:15" x14ac:dyDescent="0.3">
      <c r="A417" t="s">
        <v>836</v>
      </c>
      <c r="B417">
        <v>6</v>
      </c>
      <c r="C417" s="1">
        <v>45274</v>
      </c>
      <c r="D417" t="s">
        <v>837</v>
      </c>
      <c r="E417" t="s">
        <v>838</v>
      </c>
      <c r="F417" t="s">
        <v>15</v>
      </c>
      <c r="G417" t="s">
        <v>334</v>
      </c>
      <c r="H417">
        <v>146</v>
      </c>
      <c r="I417">
        <v>2011</v>
      </c>
      <c r="J417" t="s">
        <v>24</v>
      </c>
      <c r="K417">
        <v>485016</v>
      </c>
      <c r="L417" s="1">
        <v>40764</v>
      </c>
      <c r="M417" s="1" t="s">
        <v>3165</v>
      </c>
      <c r="N417" t="s">
        <v>839</v>
      </c>
      <c r="O417" t="s">
        <v>3149</v>
      </c>
    </row>
    <row r="418" spans="1:15" x14ac:dyDescent="0.3">
      <c r="A418" t="s">
        <v>840</v>
      </c>
      <c r="B418">
        <v>8</v>
      </c>
      <c r="C418" s="1">
        <v>44390</v>
      </c>
      <c r="D418" t="s">
        <v>841</v>
      </c>
      <c r="E418" t="s">
        <v>842</v>
      </c>
      <c r="F418" t="s">
        <v>551</v>
      </c>
      <c r="G418" t="s">
        <v>122</v>
      </c>
      <c r="H418">
        <v>87</v>
      </c>
      <c r="I418">
        <v>2021</v>
      </c>
      <c r="J418" t="s">
        <v>843</v>
      </c>
      <c r="K418">
        <v>53212</v>
      </c>
      <c r="L418" s="1">
        <v>44346</v>
      </c>
      <c r="M418" s="1" t="s">
        <v>3165</v>
      </c>
      <c r="N418" t="s">
        <v>844</v>
      </c>
      <c r="O418" t="s">
        <v>3149</v>
      </c>
    </row>
    <row r="419" spans="1:15" x14ac:dyDescent="0.3">
      <c r="A419" t="s">
        <v>845</v>
      </c>
      <c r="B419">
        <v>7</v>
      </c>
      <c r="C419" s="1">
        <v>44458</v>
      </c>
      <c r="D419" t="s">
        <v>846</v>
      </c>
      <c r="E419" t="s">
        <v>847</v>
      </c>
      <c r="F419" t="s">
        <v>47</v>
      </c>
      <c r="G419" t="s">
        <v>56</v>
      </c>
      <c r="H419">
        <v>6</v>
      </c>
      <c r="I419">
        <v>2021</v>
      </c>
      <c r="J419" t="s">
        <v>90</v>
      </c>
      <c r="K419">
        <v>24</v>
      </c>
      <c r="L419" s="1">
        <v>44350</v>
      </c>
      <c r="M419" s="1" t="s">
        <v>3154</v>
      </c>
      <c r="N419" t="s">
        <v>848</v>
      </c>
      <c r="O419" t="s">
        <v>3175</v>
      </c>
    </row>
    <row r="420" spans="1:15" x14ac:dyDescent="0.3">
      <c r="A420" t="s">
        <v>849</v>
      </c>
      <c r="B420">
        <v>7</v>
      </c>
      <c r="C420" s="1">
        <v>44325</v>
      </c>
      <c r="D420" t="s">
        <v>850</v>
      </c>
      <c r="E420" t="s">
        <v>851</v>
      </c>
      <c r="F420" t="s">
        <v>15</v>
      </c>
      <c r="G420" t="s">
        <v>95</v>
      </c>
      <c r="H420">
        <v>95</v>
      </c>
      <c r="I420">
        <v>2010</v>
      </c>
      <c r="J420" t="s">
        <v>178</v>
      </c>
      <c r="K420">
        <v>167097</v>
      </c>
      <c r="L420" s="1">
        <v>40201</v>
      </c>
      <c r="M420" s="1" t="s">
        <v>3159</v>
      </c>
      <c r="N420" t="s">
        <v>852</v>
      </c>
      <c r="O420" t="s">
        <v>3149</v>
      </c>
    </row>
    <row r="421" spans="1:15" x14ac:dyDescent="0.3">
      <c r="A421" t="s">
        <v>853</v>
      </c>
      <c r="B421">
        <v>7</v>
      </c>
      <c r="C421" s="1">
        <v>45248</v>
      </c>
      <c r="D421" t="s">
        <v>854</v>
      </c>
      <c r="E421" t="s">
        <v>855</v>
      </c>
      <c r="F421" t="s">
        <v>15</v>
      </c>
      <c r="G421" t="s">
        <v>163</v>
      </c>
      <c r="H421">
        <v>83</v>
      </c>
      <c r="I421">
        <v>2022</v>
      </c>
      <c r="J421" t="s">
        <v>421</v>
      </c>
      <c r="K421">
        <v>18314</v>
      </c>
      <c r="L421" s="1">
        <v>44815</v>
      </c>
      <c r="M421" s="1" t="s">
        <v>3165</v>
      </c>
      <c r="N421" t="s">
        <v>856</v>
      </c>
      <c r="O421" t="s">
        <v>3149</v>
      </c>
    </row>
    <row r="422" spans="1:15" x14ac:dyDescent="0.3">
      <c r="A422" t="s">
        <v>857</v>
      </c>
      <c r="B422">
        <v>9</v>
      </c>
      <c r="C422" s="1">
        <v>43473</v>
      </c>
      <c r="D422" t="s">
        <v>858</v>
      </c>
      <c r="E422" t="s">
        <v>859</v>
      </c>
      <c r="F422" t="s">
        <v>216</v>
      </c>
      <c r="G422" t="s">
        <v>860</v>
      </c>
      <c r="H422">
        <v>88</v>
      </c>
      <c r="I422">
        <v>2010</v>
      </c>
      <c r="J422" t="s">
        <v>409</v>
      </c>
      <c r="K422">
        <v>979407</v>
      </c>
      <c r="L422" s="1">
        <v>40381</v>
      </c>
      <c r="M422" s="1" t="s">
        <v>3171</v>
      </c>
      <c r="N422" t="s">
        <v>3199</v>
      </c>
      <c r="O422" t="s">
        <v>3149</v>
      </c>
    </row>
    <row r="423" spans="1:15" x14ac:dyDescent="0.3">
      <c r="A423" t="s">
        <v>861</v>
      </c>
      <c r="B423">
        <v>7</v>
      </c>
      <c r="C423" s="1">
        <v>44458</v>
      </c>
      <c r="D423" t="s">
        <v>862</v>
      </c>
      <c r="E423" t="s">
        <v>863</v>
      </c>
      <c r="F423" t="s">
        <v>47</v>
      </c>
      <c r="G423" t="s">
        <v>61</v>
      </c>
      <c r="H423">
        <v>14</v>
      </c>
      <c r="I423">
        <v>2021</v>
      </c>
      <c r="J423" t="s">
        <v>90</v>
      </c>
      <c r="K423">
        <v>24</v>
      </c>
      <c r="L423" s="1">
        <v>44377</v>
      </c>
      <c r="M423" s="1" t="s">
        <v>3154</v>
      </c>
      <c r="N423" t="s">
        <v>864</v>
      </c>
      <c r="O423" t="s">
        <v>3149</v>
      </c>
    </row>
    <row r="424" spans="1:15" x14ac:dyDescent="0.3">
      <c r="A424" t="s">
        <v>865</v>
      </c>
      <c r="B424">
        <v>7</v>
      </c>
      <c r="C424" s="1">
        <v>45276</v>
      </c>
      <c r="D424" t="s">
        <v>866</v>
      </c>
      <c r="E424" t="s">
        <v>867</v>
      </c>
      <c r="F424" t="s">
        <v>22</v>
      </c>
      <c r="G424" t="s">
        <v>198</v>
      </c>
      <c r="H424">
        <v>174</v>
      </c>
      <c r="I424">
        <v>2022</v>
      </c>
      <c r="J424" t="s">
        <v>370</v>
      </c>
      <c r="K424">
        <v>7436</v>
      </c>
      <c r="L424" s="1">
        <v>44663</v>
      </c>
      <c r="M424" s="1" t="s">
        <v>3171</v>
      </c>
      <c r="N424" t="s">
        <v>3184</v>
      </c>
      <c r="O424" t="s">
        <v>3149</v>
      </c>
    </row>
    <row r="425" spans="1:15" x14ac:dyDescent="0.3">
      <c r="A425" t="s">
        <v>868</v>
      </c>
      <c r="B425">
        <v>6</v>
      </c>
      <c r="C425" s="1">
        <v>44947</v>
      </c>
      <c r="D425" t="s">
        <v>869</v>
      </c>
      <c r="E425" t="s">
        <v>870</v>
      </c>
      <c r="F425" t="s">
        <v>22</v>
      </c>
      <c r="G425" t="s">
        <v>148</v>
      </c>
      <c r="H425">
        <v>138</v>
      </c>
      <c r="I425">
        <v>2021</v>
      </c>
      <c r="J425" t="s">
        <v>871</v>
      </c>
      <c r="K425">
        <v>11015</v>
      </c>
      <c r="L425" s="1">
        <v>44386</v>
      </c>
      <c r="M425" s="1" t="s">
        <v>3165</v>
      </c>
      <c r="N425" t="s">
        <v>25</v>
      </c>
      <c r="O425" t="s">
        <v>3149</v>
      </c>
    </row>
    <row r="426" spans="1:15" x14ac:dyDescent="0.3">
      <c r="A426" t="s">
        <v>872</v>
      </c>
      <c r="B426">
        <v>7</v>
      </c>
      <c r="C426" s="1">
        <v>45268</v>
      </c>
      <c r="D426" t="s">
        <v>873</v>
      </c>
      <c r="E426" t="s">
        <v>874</v>
      </c>
      <c r="F426" t="s">
        <v>15</v>
      </c>
      <c r="G426" t="s">
        <v>29</v>
      </c>
      <c r="H426">
        <v>133</v>
      </c>
      <c r="I426">
        <v>2023</v>
      </c>
      <c r="J426" t="s">
        <v>261</v>
      </c>
      <c r="K426">
        <v>36116</v>
      </c>
      <c r="L426" s="1">
        <v>45169</v>
      </c>
      <c r="M426" s="1" t="s">
        <v>3165</v>
      </c>
      <c r="N426" t="s">
        <v>875</v>
      </c>
      <c r="O426" t="s">
        <v>3149</v>
      </c>
    </row>
    <row r="427" spans="1:15" x14ac:dyDescent="0.3">
      <c r="A427" t="s">
        <v>876</v>
      </c>
      <c r="B427">
        <v>7</v>
      </c>
      <c r="C427" s="1">
        <v>45096</v>
      </c>
      <c r="D427" t="s">
        <v>877</v>
      </c>
      <c r="E427" t="s">
        <v>878</v>
      </c>
      <c r="F427" t="s">
        <v>15</v>
      </c>
      <c r="G427" t="s">
        <v>198</v>
      </c>
      <c r="H427">
        <v>102</v>
      </c>
      <c r="I427">
        <v>2019</v>
      </c>
      <c r="J427" t="s">
        <v>235</v>
      </c>
      <c r="K427">
        <v>128788</v>
      </c>
      <c r="L427" s="1">
        <v>43534</v>
      </c>
      <c r="M427" s="1" t="s">
        <v>3165</v>
      </c>
      <c r="N427" t="s">
        <v>245</v>
      </c>
      <c r="O427" t="s">
        <v>3175</v>
      </c>
    </row>
    <row r="428" spans="1:15" x14ac:dyDescent="0.3">
      <c r="A428" t="s">
        <v>879</v>
      </c>
      <c r="B428">
        <v>6</v>
      </c>
      <c r="C428" s="1">
        <v>45170</v>
      </c>
      <c r="D428" t="s">
        <v>880</v>
      </c>
      <c r="E428" t="s">
        <v>881</v>
      </c>
      <c r="F428" t="s">
        <v>47</v>
      </c>
      <c r="G428" t="s">
        <v>882</v>
      </c>
      <c r="H428">
        <v>10</v>
      </c>
      <c r="I428">
        <v>2013</v>
      </c>
      <c r="J428" t="s">
        <v>48</v>
      </c>
      <c r="K428">
        <v>11</v>
      </c>
      <c r="M428" s="1" t="s">
        <v>3154</v>
      </c>
      <c r="N428" t="s">
        <v>883</v>
      </c>
      <c r="O428" t="s">
        <v>3175</v>
      </c>
    </row>
    <row r="429" spans="1:15" x14ac:dyDescent="0.3">
      <c r="A429" t="s">
        <v>884</v>
      </c>
      <c r="B429">
        <v>3</v>
      </c>
      <c r="C429" s="1">
        <v>45135</v>
      </c>
      <c r="D429" t="s">
        <v>885</v>
      </c>
      <c r="E429" t="s">
        <v>886</v>
      </c>
      <c r="F429" t="s">
        <v>47</v>
      </c>
      <c r="G429" t="s">
        <v>61</v>
      </c>
      <c r="H429">
        <v>20</v>
      </c>
      <c r="I429">
        <v>2009</v>
      </c>
      <c r="J429" t="s">
        <v>456</v>
      </c>
      <c r="K429">
        <v>3574</v>
      </c>
      <c r="L429" s="1">
        <v>40056</v>
      </c>
      <c r="M429" s="1" t="s">
        <v>3165</v>
      </c>
      <c r="N429" t="s">
        <v>887</v>
      </c>
      <c r="O429" t="s">
        <v>3149</v>
      </c>
    </row>
    <row r="430" spans="1:15" x14ac:dyDescent="0.3">
      <c r="A430" t="s">
        <v>888</v>
      </c>
      <c r="B430">
        <v>7</v>
      </c>
      <c r="C430" s="1">
        <v>44423</v>
      </c>
      <c r="D430" t="s">
        <v>889</v>
      </c>
      <c r="E430" t="s">
        <v>890</v>
      </c>
      <c r="F430" t="s">
        <v>15</v>
      </c>
      <c r="G430" t="s">
        <v>148</v>
      </c>
      <c r="H430">
        <v>100</v>
      </c>
      <c r="I430">
        <v>2021</v>
      </c>
      <c r="J430" t="s">
        <v>891</v>
      </c>
      <c r="K430">
        <v>103</v>
      </c>
      <c r="L430" s="1">
        <v>44422</v>
      </c>
      <c r="M430" s="1" t="s">
        <v>3154</v>
      </c>
      <c r="N430" t="s">
        <v>892</v>
      </c>
      <c r="O430" t="s">
        <v>3149</v>
      </c>
    </row>
    <row r="431" spans="1:15" x14ac:dyDescent="0.3">
      <c r="A431" t="s">
        <v>893</v>
      </c>
      <c r="B431">
        <v>7</v>
      </c>
      <c r="C431" s="1">
        <v>44426</v>
      </c>
      <c r="D431" t="s">
        <v>894</v>
      </c>
      <c r="E431" t="s">
        <v>895</v>
      </c>
      <c r="F431" t="s">
        <v>15</v>
      </c>
      <c r="G431" t="s">
        <v>417</v>
      </c>
      <c r="H431">
        <v>101</v>
      </c>
      <c r="I431">
        <v>2021</v>
      </c>
      <c r="J431" t="s">
        <v>896</v>
      </c>
      <c r="K431">
        <v>24</v>
      </c>
      <c r="L431" s="1">
        <v>44425</v>
      </c>
      <c r="M431" s="1" t="s">
        <v>3154</v>
      </c>
      <c r="N431" t="s">
        <v>897</v>
      </c>
      <c r="O431" t="s">
        <v>3149</v>
      </c>
    </row>
    <row r="432" spans="1:15" x14ac:dyDescent="0.3">
      <c r="A432" t="s">
        <v>898</v>
      </c>
      <c r="B432">
        <v>8</v>
      </c>
      <c r="C432" s="1">
        <v>45174</v>
      </c>
      <c r="D432" t="s">
        <v>899</v>
      </c>
      <c r="E432" t="s">
        <v>900</v>
      </c>
      <c r="F432" t="s">
        <v>15</v>
      </c>
      <c r="G432" t="s">
        <v>35</v>
      </c>
      <c r="H432">
        <v>114</v>
      </c>
      <c r="I432">
        <v>2023</v>
      </c>
      <c r="J432" t="s">
        <v>901</v>
      </c>
      <c r="K432">
        <v>440288</v>
      </c>
      <c r="L432" s="1">
        <v>45116</v>
      </c>
      <c r="M432" s="1" t="s">
        <v>3165</v>
      </c>
      <c r="N432" t="s">
        <v>902</v>
      </c>
      <c r="O432" t="s">
        <v>3175</v>
      </c>
    </row>
    <row r="433" spans="1:15" x14ac:dyDescent="0.3">
      <c r="A433" t="s">
        <v>903</v>
      </c>
      <c r="B433">
        <v>5</v>
      </c>
      <c r="C433" s="1">
        <v>44428</v>
      </c>
      <c r="D433" t="s">
        <v>904</v>
      </c>
      <c r="E433" t="s">
        <v>905</v>
      </c>
      <c r="F433" t="s">
        <v>15</v>
      </c>
      <c r="G433" t="s">
        <v>73</v>
      </c>
      <c r="H433">
        <v>75</v>
      </c>
      <c r="I433">
        <v>2021</v>
      </c>
      <c r="J433" t="s">
        <v>25</v>
      </c>
      <c r="K433">
        <v>16</v>
      </c>
      <c r="L433" s="1">
        <v>44428</v>
      </c>
      <c r="M433" s="1" t="s">
        <v>3154</v>
      </c>
      <c r="N433" t="s">
        <v>906</v>
      </c>
      <c r="O433" t="s">
        <v>3149</v>
      </c>
    </row>
    <row r="434" spans="1:15" x14ac:dyDescent="0.3">
      <c r="A434" t="s">
        <v>907</v>
      </c>
      <c r="B434">
        <v>3</v>
      </c>
      <c r="C434" s="1">
        <v>44428</v>
      </c>
      <c r="D434" t="s">
        <v>908</v>
      </c>
      <c r="E434" t="s">
        <v>909</v>
      </c>
      <c r="F434" t="s">
        <v>15</v>
      </c>
      <c r="G434" t="s">
        <v>95</v>
      </c>
      <c r="H434">
        <v>120</v>
      </c>
      <c r="I434">
        <v>2021</v>
      </c>
      <c r="J434" t="s">
        <v>24</v>
      </c>
      <c r="K434">
        <v>65</v>
      </c>
      <c r="L434" s="1">
        <v>44427</v>
      </c>
      <c r="M434" s="1" t="s">
        <v>3154</v>
      </c>
      <c r="N434" t="s">
        <v>910</v>
      </c>
      <c r="O434" t="s">
        <v>3149</v>
      </c>
    </row>
    <row r="435" spans="1:15" x14ac:dyDescent="0.3">
      <c r="A435" t="s">
        <v>911</v>
      </c>
      <c r="B435">
        <v>8</v>
      </c>
      <c r="C435" s="1">
        <v>43853</v>
      </c>
      <c r="D435" t="s">
        <v>912</v>
      </c>
      <c r="E435" t="s">
        <v>913</v>
      </c>
      <c r="F435" t="s">
        <v>15</v>
      </c>
      <c r="G435" t="s">
        <v>198</v>
      </c>
      <c r="H435">
        <v>135</v>
      </c>
      <c r="I435">
        <v>2011</v>
      </c>
      <c r="J435" t="s">
        <v>462</v>
      </c>
      <c r="K435">
        <v>193110</v>
      </c>
      <c r="L435" s="1">
        <v>40681</v>
      </c>
      <c r="M435" s="1" t="s">
        <v>3188</v>
      </c>
      <c r="N435" t="s">
        <v>914</v>
      </c>
      <c r="O435" t="s">
        <v>3149</v>
      </c>
    </row>
    <row r="436" spans="1:15" x14ac:dyDescent="0.3">
      <c r="A436" t="s">
        <v>915</v>
      </c>
      <c r="B436">
        <v>7</v>
      </c>
      <c r="C436" s="1">
        <v>45120</v>
      </c>
      <c r="D436" t="s">
        <v>916</v>
      </c>
      <c r="E436" t="s">
        <v>917</v>
      </c>
      <c r="F436" t="s">
        <v>15</v>
      </c>
      <c r="G436" t="s">
        <v>116</v>
      </c>
      <c r="H436">
        <v>96</v>
      </c>
      <c r="I436">
        <v>2022</v>
      </c>
      <c r="J436" t="s">
        <v>117</v>
      </c>
      <c r="K436">
        <v>6996</v>
      </c>
      <c r="L436" s="1">
        <v>44816</v>
      </c>
      <c r="M436" s="1" t="s">
        <v>3165</v>
      </c>
      <c r="N436" t="s">
        <v>918</v>
      </c>
      <c r="O436" t="s">
        <v>3149</v>
      </c>
    </row>
    <row r="437" spans="1:15" x14ac:dyDescent="0.3">
      <c r="A437" t="s">
        <v>919</v>
      </c>
      <c r="B437">
        <v>6</v>
      </c>
      <c r="C437" s="1">
        <v>44458</v>
      </c>
      <c r="D437" t="s">
        <v>920</v>
      </c>
      <c r="E437" t="s">
        <v>921</v>
      </c>
      <c r="F437" t="s">
        <v>47</v>
      </c>
      <c r="G437" t="s">
        <v>25</v>
      </c>
      <c r="H437">
        <v>5</v>
      </c>
      <c r="I437">
        <v>2021</v>
      </c>
      <c r="J437" t="s">
        <v>922</v>
      </c>
      <c r="L437" s="1">
        <v>44207</v>
      </c>
      <c r="M437" s="1" t="s">
        <v>3154</v>
      </c>
      <c r="N437" t="s">
        <v>923</v>
      </c>
      <c r="O437" t="s">
        <v>3149</v>
      </c>
    </row>
    <row r="438" spans="1:15" x14ac:dyDescent="0.3">
      <c r="A438" t="s">
        <v>924</v>
      </c>
      <c r="B438">
        <v>7</v>
      </c>
      <c r="C438" s="1">
        <v>45242</v>
      </c>
      <c r="D438" t="s">
        <v>925</v>
      </c>
      <c r="E438" t="s">
        <v>926</v>
      </c>
      <c r="F438" t="s">
        <v>15</v>
      </c>
      <c r="G438" t="s">
        <v>927</v>
      </c>
      <c r="H438">
        <v>180</v>
      </c>
      <c r="I438">
        <v>2023</v>
      </c>
      <c r="J438" t="s">
        <v>230</v>
      </c>
      <c r="K438">
        <v>573201</v>
      </c>
      <c r="L438" s="1">
        <v>45118</v>
      </c>
      <c r="M438" s="1" t="s">
        <v>3165</v>
      </c>
      <c r="N438" t="s">
        <v>756</v>
      </c>
      <c r="O438" t="s">
        <v>3149</v>
      </c>
    </row>
    <row r="439" spans="1:15" x14ac:dyDescent="0.3">
      <c r="A439" t="s">
        <v>928</v>
      </c>
      <c r="B439">
        <v>3</v>
      </c>
      <c r="C439" s="1">
        <v>45230</v>
      </c>
      <c r="D439" t="s">
        <v>929</v>
      </c>
      <c r="E439" t="s">
        <v>930</v>
      </c>
      <c r="F439" t="s">
        <v>15</v>
      </c>
      <c r="G439" t="s">
        <v>931</v>
      </c>
      <c r="H439">
        <v>93</v>
      </c>
      <c r="I439">
        <v>2023</v>
      </c>
      <c r="J439" t="s">
        <v>932</v>
      </c>
      <c r="K439">
        <v>3096</v>
      </c>
      <c r="L439" s="1">
        <v>45168</v>
      </c>
      <c r="M439" s="1" t="s">
        <v>3165</v>
      </c>
      <c r="N439" t="s">
        <v>933</v>
      </c>
      <c r="O439" t="s">
        <v>3149</v>
      </c>
    </row>
    <row r="440" spans="1:15" x14ac:dyDescent="0.3">
      <c r="A440" t="s">
        <v>934</v>
      </c>
      <c r="B440">
        <v>6</v>
      </c>
      <c r="C440" s="1">
        <v>44458</v>
      </c>
      <c r="D440" t="s">
        <v>935</v>
      </c>
      <c r="E440" t="s">
        <v>936</v>
      </c>
      <c r="F440" t="s">
        <v>47</v>
      </c>
      <c r="G440" t="s">
        <v>23</v>
      </c>
      <c r="H440">
        <v>15</v>
      </c>
      <c r="I440">
        <v>2021</v>
      </c>
      <c r="J440" t="s">
        <v>90</v>
      </c>
      <c r="K440">
        <v>7</v>
      </c>
      <c r="L440" s="1">
        <v>44441</v>
      </c>
      <c r="M440" s="1" t="s">
        <v>3154</v>
      </c>
      <c r="N440" t="s">
        <v>937</v>
      </c>
      <c r="O440" t="s">
        <v>3149</v>
      </c>
    </row>
    <row r="441" spans="1:15" x14ac:dyDescent="0.3">
      <c r="A441" t="s">
        <v>938</v>
      </c>
      <c r="B441">
        <v>6</v>
      </c>
      <c r="C441" s="1">
        <v>44458</v>
      </c>
      <c r="D441" t="s">
        <v>939</v>
      </c>
      <c r="E441" t="s">
        <v>940</v>
      </c>
      <c r="F441" t="s">
        <v>47</v>
      </c>
      <c r="G441" t="s">
        <v>25</v>
      </c>
      <c r="H441">
        <v>11</v>
      </c>
      <c r="I441">
        <v>2021</v>
      </c>
      <c r="J441" t="s">
        <v>90</v>
      </c>
      <c r="L441" s="1">
        <v>44441</v>
      </c>
      <c r="M441" s="1" t="s">
        <v>3154</v>
      </c>
      <c r="N441" t="s">
        <v>941</v>
      </c>
      <c r="O441" t="s">
        <v>3149</v>
      </c>
    </row>
    <row r="442" spans="1:15" x14ac:dyDescent="0.3">
      <c r="A442" t="s">
        <v>942</v>
      </c>
      <c r="B442">
        <v>6</v>
      </c>
      <c r="C442" s="1">
        <v>44503</v>
      </c>
      <c r="D442" t="s">
        <v>943</v>
      </c>
      <c r="E442" t="s">
        <v>944</v>
      </c>
      <c r="F442" t="s">
        <v>47</v>
      </c>
      <c r="G442" t="s">
        <v>41</v>
      </c>
      <c r="H442">
        <v>17</v>
      </c>
      <c r="I442">
        <v>2021</v>
      </c>
      <c r="J442" t="s">
        <v>199</v>
      </c>
      <c r="K442">
        <v>26</v>
      </c>
      <c r="L442" s="1">
        <v>44463</v>
      </c>
      <c r="M442" s="1" t="s">
        <v>3154</v>
      </c>
      <c r="N442" t="s">
        <v>945</v>
      </c>
      <c r="O442" t="s">
        <v>3175</v>
      </c>
    </row>
    <row r="443" spans="1:15" x14ac:dyDescent="0.3">
      <c r="A443" t="s">
        <v>946</v>
      </c>
      <c r="B443">
        <v>7</v>
      </c>
      <c r="C443" s="1">
        <v>45235</v>
      </c>
      <c r="D443" t="s">
        <v>947</v>
      </c>
      <c r="E443" t="s">
        <v>948</v>
      </c>
      <c r="F443" t="s">
        <v>22</v>
      </c>
      <c r="G443" t="s">
        <v>143</v>
      </c>
      <c r="H443">
        <v>493</v>
      </c>
      <c r="I443">
        <v>2023</v>
      </c>
      <c r="J443" t="s">
        <v>153</v>
      </c>
      <c r="K443">
        <v>91154</v>
      </c>
      <c r="L443" s="1">
        <v>45211</v>
      </c>
      <c r="M443" s="1" t="s">
        <v>3165</v>
      </c>
      <c r="N443" t="s">
        <v>2235</v>
      </c>
      <c r="O443" t="s">
        <v>3149</v>
      </c>
    </row>
    <row r="444" spans="1:15" x14ac:dyDescent="0.3">
      <c r="A444" t="s">
        <v>954</v>
      </c>
      <c r="B444">
        <v>6</v>
      </c>
      <c r="C444" s="1">
        <v>45139</v>
      </c>
      <c r="D444" t="s">
        <v>955</v>
      </c>
      <c r="E444" t="s">
        <v>956</v>
      </c>
      <c r="F444" t="s">
        <v>15</v>
      </c>
      <c r="G444" t="s">
        <v>148</v>
      </c>
      <c r="H444">
        <v>118</v>
      </c>
      <c r="I444">
        <v>2011</v>
      </c>
      <c r="J444" t="s">
        <v>17</v>
      </c>
      <c r="K444">
        <v>553485</v>
      </c>
      <c r="L444" s="1">
        <v>40743</v>
      </c>
      <c r="M444" s="1" t="s">
        <v>3165</v>
      </c>
      <c r="N444" t="s">
        <v>957</v>
      </c>
      <c r="O444" t="s">
        <v>3149</v>
      </c>
    </row>
    <row r="445" spans="1:15" x14ac:dyDescent="0.3">
      <c r="A445" t="s">
        <v>958</v>
      </c>
      <c r="B445">
        <v>7</v>
      </c>
      <c r="C445" s="1">
        <v>44874</v>
      </c>
      <c r="D445" t="s">
        <v>959</v>
      </c>
      <c r="E445" t="s">
        <v>960</v>
      </c>
      <c r="F445" t="s">
        <v>15</v>
      </c>
      <c r="G445" t="s">
        <v>346</v>
      </c>
      <c r="H445">
        <v>99</v>
      </c>
      <c r="I445">
        <v>2011</v>
      </c>
      <c r="J445" t="s">
        <v>961</v>
      </c>
      <c r="K445">
        <v>107578</v>
      </c>
      <c r="L445" s="1">
        <v>40788</v>
      </c>
      <c r="M445" s="1" t="s">
        <v>3171</v>
      </c>
      <c r="N445" t="s">
        <v>253</v>
      </c>
      <c r="O445" t="s">
        <v>3149</v>
      </c>
    </row>
    <row r="446" spans="1:15" x14ac:dyDescent="0.3">
      <c r="A446" t="s">
        <v>965</v>
      </c>
      <c r="B446">
        <v>7</v>
      </c>
      <c r="C446" s="1">
        <v>44749</v>
      </c>
      <c r="D446" t="s">
        <v>966</v>
      </c>
      <c r="E446" t="s">
        <v>967</v>
      </c>
      <c r="F446" t="s">
        <v>15</v>
      </c>
      <c r="G446" t="s">
        <v>95</v>
      </c>
      <c r="H446">
        <v>101</v>
      </c>
      <c r="I446">
        <v>2010</v>
      </c>
      <c r="J446" t="s">
        <v>42</v>
      </c>
      <c r="K446">
        <v>30092</v>
      </c>
      <c r="L446" s="1">
        <v>40314</v>
      </c>
      <c r="M446" s="1" t="s">
        <v>3155</v>
      </c>
      <c r="N446" t="s">
        <v>968</v>
      </c>
      <c r="O446" t="s">
        <v>3149</v>
      </c>
    </row>
    <row r="447" spans="1:15" x14ac:dyDescent="0.3">
      <c r="A447" t="s">
        <v>969</v>
      </c>
      <c r="B447">
        <v>4</v>
      </c>
      <c r="C447" s="1">
        <v>44645</v>
      </c>
      <c r="D447" t="s">
        <v>970</v>
      </c>
      <c r="E447" t="s">
        <v>971</v>
      </c>
      <c r="F447" t="s">
        <v>15</v>
      </c>
      <c r="G447" t="s">
        <v>379</v>
      </c>
      <c r="H447">
        <v>90</v>
      </c>
      <c r="I447">
        <v>2013</v>
      </c>
      <c r="J447" t="s">
        <v>311</v>
      </c>
      <c r="K447">
        <v>117051</v>
      </c>
      <c r="L447" s="1">
        <v>41416</v>
      </c>
      <c r="M447" s="1" t="s">
        <v>3188</v>
      </c>
      <c r="N447" t="s">
        <v>972</v>
      </c>
      <c r="O447" t="s">
        <v>3149</v>
      </c>
    </row>
    <row r="448" spans="1:15" x14ac:dyDescent="0.3">
      <c r="A448" t="s">
        <v>973</v>
      </c>
      <c r="B448">
        <v>8</v>
      </c>
      <c r="C448" s="1">
        <v>44394</v>
      </c>
      <c r="D448" t="s">
        <v>974</v>
      </c>
      <c r="E448" t="s">
        <v>975</v>
      </c>
      <c r="F448" t="s">
        <v>15</v>
      </c>
      <c r="G448" t="s">
        <v>41</v>
      </c>
      <c r="H448">
        <v>94</v>
      </c>
      <c r="I448">
        <v>2011</v>
      </c>
      <c r="J448" t="s">
        <v>976</v>
      </c>
      <c r="K448">
        <v>445101</v>
      </c>
      <c r="L448" s="1">
        <v>40674</v>
      </c>
      <c r="M448" s="1" t="s">
        <v>3165</v>
      </c>
      <c r="N448" t="s">
        <v>977</v>
      </c>
      <c r="O448" t="s">
        <v>3149</v>
      </c>
    </row>
    <row r="449" spans="1:15" x14ac:dyDescent="0.3">
      <c r="A449" t="s">
        <v>978</v>
      </c>
      <c r="B449">
        <v>7</v>
      </c>
      <c r="C449" s="1">
        <v>44553</v>
      </c>
      <c r="D449" t="s">
        <v>979</v>
      </c>
      <c r="E449" t="s">
        <v>980</v>
      </c>
      <c r="F449" t="s">
        <v>551</v>
      </c>
      <c r="G449" t="s">
        <v>95</v>
      </c>
      <c r="H449">
        <v>58</v>
      </c>
      <c r="I449">
        <v>2021</v>
      </c>
      <c r="J449" t="s">
        <v>235</v>
      </c>
      <c r="K449">
        <v>333</v>
      </c>
      <c r="L449" s="1">
        <v>44534</v>
      </c>
      <c r="M449" s="1" t="s">
        <v>3165</v>
      </c>
      <c r="N449" t="s">
        <v>981</v>
      </c>
      <c r="O449" t="s">
        <v>3149</v>
      </c>
    </row>
    <row r="450" spans="1:15" x14ac:dyDescent="0.3">
      <c r="A450" t="s">
        <v>982</v>
      </c>
      <c r="B450">
        <v>7</v>
      </c>
      <c r="C450" s="1">
        <v>44998</v>
      </c>
      <c r="D450" t="s">
        <v>983</v>
      </c>
      <c r="E450" t="s">
        <v>984</v>
      </c>
      <c r="F450" t="s">
        <v>15</v>
      </c>
      <c r="G450" t="s">
        <v>158</v>
      </c>
      <c r="H450">
        <v>100</v>
      </c>
      <c r="I450">
        <v>2016</v>
      </c>
      <c r="J450" t="s">
        <v>574</v>
      </c>
      <c r="K450">
        <v>82800</v>
      </c>
      <c r="L450" s="1">
        <v>42620</v>
      </c>
      <c r="M450" s="1" t="s">
        <v>3165</v>
      </c>
      <c r="N450" t="s">
        <v>602</v>
      </c>
      <c r="O450" t="s">
        <v>3149</v>
      </c>
    </row>
    <row r="451" spans="1:15" x14ac:dyDescent="0.3">
      <c r="A451" t="s">
        <v>985</v>
      </c>
      <c r="B451">
        <v>6</v>
      </c>
      <c r="C451" s="1">
        <v>43694</v>
      </c>
      <c r="D451" t="s">
        <v>986</v>
      </c>
      <c r="E451" t="s">
        <v>987</v>
      </c>
      <c r="F451" t="s">
        <v>15</v>
      </c>
      <c r="G451" t="s">
        <v>882</v>
      </c>
      <c r="H451">
        <v>92</v>
      </c>
      <c r="I451">
        <v>2011</v>
      </c>
      <c r="J451" t="s">
        <v>421</v>
      </c>
      <c r="K451">
        <v>123451</v>
      </c>
      <c r="L451" s="1">
        <v>40759</v>
      </c>
      <c r="M451" s="1" t="s">
        <v>3165</v>
      </c>
      <c r="N451" t="s">
        <v>988</v>
      </c>
      <c r="O451" t="s">
        <v>3149</v>
      </c>
    </row>
    <row r="452" spans="1:15" x14ac:dyDescent="0.3">
      <c r="A452" t="s">
        <v>989</v>
      </c>
      <c r="B452">
        <v>7</v>
      </c>
      <c r="C452" s="1">
        <v>44557</v>
      </c>
      <c r="D452" t="s">
        <v>990</v>
      </c>
      <c r="E452" t="s">
        <v>991</v>
      </c>
      <c r="F452" t="s">
        <v>551</v>
      </c>
      <c r="G452" t="s">
        <v>198</v>
      </c>
      <c r="H452">
        <v>59</v>
      </c>
      <c r="I452">
        <v>2021</v>
      </c>
      <c r="J452" t="s">
        <v>235</v>
      </c>
      <c r="K452">
        <v>5808</v>
      </c>
      <c r="L452" s="1">
        <v>44555</v>
      </c>
      <c r="M452" s="1" t="s">
        <v>3171</v>
      </c>
      <c r="N452" t="s">
        <v>992</v>
      </c>
    </row>
    <row r="453" spans="1:15" x14ac:dyDescent="0.3">
      <c r="A453" t="s">
        <v>993</v>
      </c>
      <c r="B453">
        <v>8</v>
      </c>
      <c r="C453" s="1">
        <v>44869</v>
      </c>
      <c r="D453" t="s">
        <v>994</v>
      </c>
      <c r="E453" t="s">
        <v>995</v>
      </c>
      <c r="F453" t="s">
        <v>15</v>
      </c>
      <c r="G453" t="s">
        <v>35</v>
      </c>
      <c r="H453">
        <v>100</v>
      </c>
      <c r="I453">
        <v>2022</v>
      </c>
      <c r="J453" t="s">
        <v>193</v>
      </c>
      <c r="K453">
        <v>1744</v>
      </c>
      <c r="L453" s="1">
        <v>44582</v>
      </c>
      <c r="M453" s="1" t="s">
        <v>3154</v>
      </c>
      <c r="N453" t="s">
        <v>996</v>
      </c>
      <c r="O453" t="s">
        <v>3175</v>
      </c>
    </row>
    <row r="454" spans="1:15" x14ac:dyDescent="0.3">
      <c r="A454" t="s">
        <v>997</v>
      </c>
      <c r="B454">
        <v>7</v>
      </c>
      <c r="C454" s="1">
        <v>44997</v>
      </c>
      <c r="D454" t="s">
        <v>998</v>
      </c>
      <c r="E454" t="s">
        <v>999</v>
      </c>
      <c r="F454" t="s">
        <v>15</v>
      </c>
      <c r="G454" t="s">
        <v>79</v>
      </c>
      <c r="H454">
        <v>87</v>
      </c>
      <c r="I454">
        <v>2022</v>
      </c>
      <c r="J454" t="s">
        <v>96</v>
      </c>
      <c r="K454">
        <v>1991</v>
      </c>
      <c r="L454" s="1">
        <v>44584</v>
      </c>
      <c r="M454" s="1" t="s">
        <v>3188</v>
      </c>
      <c r="N454" t="s">
        <v>1000</v>
      </c>
      <c r="O454" t="s">
        <v>3149</v>
      </c>
    </row>
    <row r="455" spans="1:15" x14ac:dyDescent="0.3">
      <c r="A455" t="s">
        <v>1005</v>
      </c>
      <c r="B455">
        <v>5</v>
      </c>
      <c r="C455" s="1">
        <v>44877</v>
      </c>
      <c r="D455" t="s">
        <v>1006</v>
      </c>
      <c r="E455" t="s">
        <v>1007</v>
      </c>
      <c r="F455" t="s">
        <v>47</v>
      </c>
      <c r="G455" t="s">
        <v>1008</v>
      </c>
      <c r="H455">
        <v>43</v>
      </c>
      <c r="I455">
        <v>2021</v>
      </c>
      <c r="J455" t="s">
        <v>199</v>
      </c>
      <c r="K455">
        <v>123</v>
      </c>
      <c r="L455" s="1">
        <v>44543</v>
      </c>
      <c r="M455" s="1" t="s">
        <v>3194</v>
      </c>
      <c r="N455" t="s">
        <v>69</v>
      </c>
      <c r="O455" t="s">
        <v>3149</v>
      </c>
    </row>
    <row r="456" spans="1:15" x14ac:dyDescent="0.3">
      <c r="A456" t="s">
        <v>1009</v>
      </c>
      <c r="B456">
        <v>7</v>
      </c>
      <c r="C456" s="1">
        <v>44021</v>
      </c>
      <c r="D456" t="s">
        <v>1010</v>
      </c>
      <c r="E456" t="s">
        <v>1011</v>
      </c>
      <c r="F456" t="s">
        <v>15</v>
      </c>
      <c r="G456" t="s">
        <v>346</v>
      </c>
      <c r="H456">
        <v>83</v>
      </c>
      <c r="I456">
        <v>2012</v>
      </c>
      <c r="J456" t="s">
        <v>235</v>
      </c>
      <c r="K456">
        <v>329318</v>
      </c>
      <c r="L456" s="1">
        <v>41045</v>
      </c>
      <c r="M456" s="1" t="s">
        <v>3165</v>
      </c>
      <c r="N456" t="s">
        <v>1012</v>
      </c>
      <c r="O456" t="s">
        <v>3149</v>
      </c>
    </row>
    <row r="457" spans="1:15" x14ac:dyDescent="0.3">
      <c r="A457" t="s">
        <v>1013</v>
      </c>
      <c r="B457">
        <v>8</v>
      </c>
      <c r="C457" s="1">
        <v>44553</v>
      </c>
      <c r="D457" t="s">
        <v>1014</v>
      </c>
      <c r="E457" t="s">
        <v>1015</v>
      </c>
      <c r="F457" t="s">
        <v>551</v>
      </c>
      <c r="G457" t="s">
        <v>84</v>
      </c>
      <c r="H457">
        <v>63</v>
      </c>
      <c r="I457">
        <v>2021</v>
      </c>
      <c r="J457" t="s">
        <v>235</v>
      </c>
      <c r="K457">
        <v>3712</v>
      </c>
      <c r="L457" s="1">
        <v>44548</v>
      </c>
      <c r="M457" s="1" t="s">
        <v>3165</v>
      </c>
      <c r="N457" t="s">
        <v>552</v>
      </c>
      <c r="O457" t="s">
        <v>3149</v>
      </c>
    </row>
    <row r="458" spans="1:15" x14ac:dyDescent="0.3">
      <c r="A458" t="s">
        <v>1016</v>
      </c>
      <c r="B458">
        <v>7</v>
      </c>
      <c r="C458" s="1">
        <v>44839</v>
      </c>
      <c r="D458" t="s">
        <v>1017</v>
      </c>
      <c r="E458" t="s">
        <v>1018</v>
      </c>
      <c r="F458" t="s">
        <v>47</v>
      </c>
      <c r="G458" t="s">
        <v>35</v>
      </c>
      <c r="H458">
        <v>44</v>
      </c>
      <c r="I458">
        <v>2010</v>
      </c>
      <c r="J458" t="s">
        <v>297</v>
      </c>
      <c r="K458">
        <v>466</v>
      </c>
      <c r="L458" s="1">
        <v>40318</v>
      </c>
      <c r="M458" s="1" t="s">
        <v>3155</v>
      </c>
      <c r="N458" t="s">
        <v>1019</v>
      </c>
      <c r="O458" t="s">
        <v>3149</v>
      </c>
    </row>
    <row r="459" spans="1:15" x14ac:dyDescent="0.3">
      <c r="A459" t="s">
        <v>1020</v>
      </c>
      <c r="B459">
        <v>8</v>
      </c>
      <c r="C459" s="1">
        <v>44832</v>
      </c>
      <c r="D459" t="s">
        <v>1021</v>
      </c>
      <c r="E459" t="s">
        <v>1022</v>
      </c>
      <c r="F459" t="s">
        <v>15</v>
      </c>
      <c r="G459" t="s">
        <v>461</v>
      </c>
      <c r="H459">
        <v>167</v>
      </c>
      <c r="I459">
        <v>2022</v>
      </c>
      <c r="J459" t="s">
        <v>1023</v>
      </c>
      <c r="K459">
        <v>70135</v>
      </c>
      <c r="L459" s="1">
        <v>44812</v>
      </c>
      <c r="M459" s="1" t="s">
        <v>3165</v>
      </c>
      <c r="N459" t="s">
        <v>1024</v>
      </c>
      <c r="O459" t="s">
        <v>3149</v>
      </c>
    </row>
    <row r="460" spans="1:15" x14ac:dyDescent="0.3">
      <c r="A460" t="s">
        <v>1025</v>
      </c>
      <c r="B460">
        <v>5</v>
      </c>
      <c r="C460" s="1">
        <v>45184</v>
      </c>
      <c r="D460" t="s">
        <v>1026</v>
      </c>
      <c r="E460" t="s">
        <v>1027</v>
      </c>
      <c r="F460" t="s">
        <v>15</v>
      </c>
      <c r="G460" t="s">
        <v>79</v>
      </c>
      <c r="H460">
        <v>112</v>
      </c>
      <c r="I460">
        <v>2015</v>
      </c>
      <c r="J460" t="s">
        <v>1028</v>
      </c>
      <c r="K460">
        <v>198728</v>
      </c>
      <c r="L460" s="1">
        <v>42102</v>
      </c>
      <c r="M460" s="1" t="s">
        <v>3165</v>
      </c>
      <c r="N460" t="s">
        <v>1029</v>
      </c>
      <c r="O460" t="s">
        <v>3149</v>
      </c>
    </row>
    <row r="461" spans="1:15" x14ac:dyDescent="0.3">
      <c r="A461" t="s">
        <v>1030</v>
      </c>
      <c r="B461">
        <v>7</v>
      </c>
      <c r="C461" s="1">
        <v>44992</v>
      </c>
      <c r="D461" t="s">
        <v>1031</v>
      </c>
      <c r="E461" t="s">
        <v>1032</v>
      </c>
      <c r="F461" t="s">
        <v>15</v>
      </c>
      <c r="G461" t="s">
        <v>143</v>
      </c>
      <c r="H461">
        <v>100</v>
      </c>
      <c r="I461">
        <v>2011</v>
      </c>
      <c r="J461" t="s">
        <v>17</v>
      </c>
      <c r="K461">
        <v>247160</v>
      </c>
      <c r="L461" s="1">
        <v>40678</v>
      </c>
      <c r="M461" s="1" t="s">
        <v>3165</v>
      </c>
      <c r="N461" t="s">
        <v>1033</v>
      </c>
      <c r="O461" t="s">
        <v>3149</v>
      </c>
    </row>
    <row r="462" spans="1:15" x14ac:dyDescent="0.3">
      <c r="A462" t="s">
        <v>1037</v>
      </c>
      <c r="B462">
        <v>8</v>
      </c>
      <c r="C462" s="1">
        <v>43582</v>
      </c>
      <c r="D462" t="s">
        <v>1038</v>
      </c>
      <c r="E462" t="s">
        <v>1039</v>
      </c>
      <c r="F462" t="s">
        <v>15</v>
      </c>
      <c r="G462" t="s">
        <v>23</v>
      </c>
      <c r="H462">
        <v>112</v>
      </c>
      <c r="I462">
        <v>2011</v>
      </c>
      <c r="J462" t="s">
        <v>204</v>
      </c>
      <c r="K462">
        <v>911642</v>
      </c>
      <c r="L462" s="1">
        <v>40809</v>
      </c>
      <c r="M462" s="1" t="s">
        <v>3155</v>
      </c>
      <c r="N462" t="s">
        <v>1040</v>
      </c>
      <c r="O462" t="s">
        <v>3149</v>
      </c>
    </row>
    <row r="463" spans="1:15" x14ac:dyDescent="0.3">
      <c r="A463" t="s">
        <v>1041</v>
      </c>
      <c r="B463">
        <v>6</v>
      </c>
      <c r="C463" s="1">
        <v>45169</v>
      </c>
      <c r="D463" t="s">
        <v>1042</v>
      </c>
      <c r="E463" t="s">
        <v>1043</v>
      </c>
      <c r="F463" t="s">
        <v>47</v>
      </c>
      <c r="G463" t="s">
        <v>35</v>
      </c>
      <c r="H463">
        <v>12</v>
      </c>
      <c r="I463">
        <v>2018</v>
      </c>
      <c r="J463" t="s">
        <v>48</v>
      </c>
      <c r="K463">
        <v>11</v>
      </c>
      <c r="L463" s="1">
        <v>43231</v>
      </c>
      <c r="M463" s="1" t="s">
        <v>3154</v>
      </c>
      <c r="N463" t="s">
        <v>1044</v>
      </c>
      <c r="O463" t="s">
        <v>3175</v>
      </c>
    </row>
    <row r="464" spans="1:15" x14ac:dyDescent="0.3">
      <c r="A464" t="s">
        <v>1049</v>
      </c>
      <c r="B464">
        <v>7</v>
      </c>
      <c r="C464" s="1">
        <v>45200</v>
      </c>
      <c r="D464" t="s">
        <v>1050</v>
      </c>
      <c r="E464" t="s">
        <v>1051</v>
      </c>
      <c r="F464" t="s">
        <v>47</v>
      </c>
      <c r="G464" t="s">
        <v>148</v>
      </c>
      <c r="H464">
        <v>37</v>
      </c>
      <c r="I464">
        <v>2023</v>
      </c>
      <c r="J464" t="s">
        <v>1052</v>
      </c>
      <c r="K464">
        <v>51517</v>
      </c>
      <c r="L464" s="1">
        <v>45170</v>
      </c>
      <c r="M464" s="1" t="s">
        <v>3165</v>
      </c>
      <c r="N464" t="s">
        <v>298</v>
      </c>
      <c r="O464" t="s">
        <v>3149</v>
      </c>
    </row>
    <row r="465" spans="1:15" x14ac:dyDescent="0.3">
      <c r="A465" t="s">
        <v>1053</v>
      </c>
      <c r="B465">
        <v>5</v>
      </c>
      <c r="C465" s="1">
        <v>45262</v>
      </c>
      <c r="D465" t="s">
        <v>1054</v>
      </c>
      <c r="E465" t="s">
        <v>1055</v>
      </c>
      <c r="F465" t="s">
        <v>216</v>
      </c>
      <c r="G465" t="s">
        <v>67</v>
      </c>
      <c r="H465">
        <v>312</v>
      </c>
      <c r="I465">
        <v>2022</v>
      </c>
      <c r="J465" t="s">
        <v>123</v>
      </c>
      <c r="K465">
        <v>5578</v>
      </c>
      <c r="L465" s="1">
        <v>44813</v>
      </c>
      <c r="M465" s="1" t="s">
        <v>3188</v>
      </c>
      <c r="N465" t="s">
        <v>972</v>
      </c>
      <c r="O465" t="s">
        <v>3149</v>
      </c>
    </row>
    <row r="466" spans="1:15" x14ac:dyDescent="0.3">
      <c r="A466" t="s">
        <v>1056</v>
      </c>
      <c r="B466">
        <v>7</v>
      </c>
      <c r="C466" s="1">
        <v>45216</v>
      </c>
      <c r="D466" t="s">
        <v>1057</v>
      </c>
      <c r="E466" t="s">
        <v>1058</v>
      </c>
      <c r="F466" t="s">
        <v>15</v>
      </c>
      <c r="G466" t="s">
        <v>61</v>
      </c>
      <c r="H466">
        <v>151</v>
      </c>
      <c r="I466">
        <v>2023</v>
      </c>
      <c r="J466" t="s">
        <v>123</v>
      </c>
      <c r="K466">
        <v>27693</v>
      </c>
      <c r="L466" s="1">
        <v>45067</v>
      </c>
      <c r="M466" s="1" t="s">
        <v>3155</v>
      </c>
      <c r="N466" t="s">
        <v>1059</v>
      </c>
      <c r="O466" t="s">
        <v>3175</v>
      </c>
    </row>
    <row r="467" spans="1:15" x14ac:dyDescent="0.3">
      <c r="A467" t="s">
        <v>1060</v>
      </c>
      <c r="B467">
        <v>6</v>
      </c>
      <c r="C467" s="1">
        <v>44847</v>
      </c>
      <c r="D467" t="s">
        <v>1061</v>
      </c>
      <c r="E467" t="s">
        <v>1062</v>
      </c>
      <c r="F467" t="s">
        <v>15</v>
      </c>
      <c r="G467" t="s">
        <v>79</v>
      </c>
      <c r="H467">
        <v>56</v>
      </c>
      <c r="I467">
        <v>2022</v>
      </c>
      <c r="J467" t="s">
        <v>96</v>
      </c>
      <c r="K467">
        <v>9</v>
      </c>
      <c r="L467" s="1">
        <v>44673</v>
      </c>
      <c r="M467" s="1" t="s">
        <v>3154</v>
      </c>
      <c r="N467" t="s">
        <v>1063</v>
      </c>
      <c r="O467" t="s">
        <v>3175</v>
      </c>
    </row>
    <row r="468" spans="1:15" x14ac:dyDescent="0.3">
      <c r="A468" t="s">
        <v>1064</v>
      </c>
      <c r="B468">
        <v>6</v>
      </c>
      <c r="C468" s="1">
        <v>44521</v>
      </c>
      <c r="D468" t="s">
        <v>1065</v>
      </c>
      <c r="E468" t="s">
        <v>1066</v>
      </c>
      <c r="F468" t="s">
        <v>15</v>
      </c>
      <c r="G468" t="s">
        <v>198</v>
      </c>
      <c r="H468">
        <v>126</v>
      </c>
      <c r="I468">
        <v>2013</v>
      </c>
      <c r="J468" t="s">
        <v>1067</v>
      </c>
      <c r="K468">
        <v>383407</v>
      </c>
      <c r="L468" s="1">
        <v>41484</v>
      </c>
      <c r="M468" s="1" t="s">
        <v>3197</v>
      </c>
      <c r="N468" t="s">
        <v>1068</v>
      </c>
      <c r="O468" t="s">
        <v>3149</v>
      </c>
    </row>
    <row r="469" spans="1:15" x14ac:dyDescent="0.3">
      <c r="A469" t="s">
        <v>1069</v>
      </c>
      <c r="B469">
        <v>7</v>
      </c>
      <c r="C469" s="1">
        <v>44915</v>
      </c>
      <c r="D469" t="s">
        <v>1070</v>
      </c>
      <c r="E469" t="s">
        <v>1071</v>
      </c>
      <c r="F469" t="s">
        <v>15</v>
      </c>
      <c r="G469" t="s">
        <v>35</v>
      </c>
      <c r="H469">
        <v>108</v>
      </c>
      <c r="I469">
        <v>2022</v>
      </c>
      <c r="J469" t="s">
        <v>1072</v>
      </c>
      <c r="K469">
        <v>36094</v>
      </c>
      <c r="L469" s="1">
        <v>44812</v>
      </c>
      <c r="M469" s="1" t="s">
        <v>3165</v>
      </c>
      <c r="N469" t="s">
        <v>1073</v>
      </c>
      <c r="O469" t="s">
        <v>3149</v>
      </c>
    </row>
    <row r="470" spans="1:15" x14ac:dyDescent="0.3">
      <c r="A470" t="s">
        <v>1078</v>
      </c>
      <c r="B470">
        <v>7</v>
      </c>
      <c r="C470" s="1">
        <v>44877</v>
      </c>
      <c r="D470" t="s">
        <v>1079</v>
      </c>
      <c r="E470" t="s">
        <v>1080</v>
      </c>
      <c r="F470" t="s">
        <v>15</v>
      </c>
      <c r="G470" t="s">
        <v>79</v>
      </c>
      <c r="H470">
        <v>123</v>
      </c>
      <c r="I470">
        <v>2013</v>
      </c>
      <c r="J470" t="s">
        <v>1081</v>
      </c>
      <c r="K470">
        <v>106632</v>
      </c>
      <c r="L470" s="1">
        <v>41419</v>
      </c>
      <c r="M470" s="1" t="s">
        <v>3171</v>
      </c>
      <c r="N470" t="s">
        <v>1082</v>
      </c>
      <c r="O470" t="s">
        <v>3149</v>
      </c>
    </row>
    <row r="471" spans="1:15" x14ac:dyDescent="0.3">
      <c r="A471" t="s">
        <v>1087</v>
      </c>
      <c r="B471">
        <v>8</v>
      </c>
      <c r="C471" s="1">
        <v>43691</v>
      </c>
      <c r="D471" t="s">
        <v>1088</v>
      </c>
      <c r="E471" t="s">
        <v>1089</v>
      </c>
      <c r="F471" t="s">
        <v>15</v>
      </c>
      <c r="G471" t="s">
        <v>143</v>
      </c>
      <c r="H471">
        <v>134</v>
      </c>
      <c r="I471">
        <v>2018</v>
      </c>
      <c r="J471" t="s">
        <v>74</v>
      </c>
      <c r="K471">
        <v>577978</v>
      </c>
      <c r="L471" s="1">
        <v>43396</v>
      </c>
      <c r="M471" s="1" t="s">
        <v>3165</v>
      </c>
      <c r="N471" t="s">
        <v>1090</v>
      </c>
      <c r="O471" t="s">
        <v>3149</v>
      </c>
    </row>
    <row r="472" spans="1:15" x14ac:dyDescent="0.3">
      <c r="A472" t="s">
        <v>1091</v>
      </c>
      <c r="B472">
        <v>6</v>
      </c>
      <c r="C472" s="1">
        <v>45282</v>
      </c>
      <c r="D472" t="s">
        <v>1092</v>
      </c>
      <c r="E472" t="s">
        <v>1093</v>
      </c>
      <c r="F472" t="s">
        <v>15</v>
      </c>
      <c r="G472" t="s">
        <v>79</v>
      </c>
      <c r="H472">
        <v>131</v>
      </c>
      <c r="I472">
        <v>2023</v>
      </c>
      <c r="J472" t="s">
        <v>1094</v>
      </c>
      <c r="K472">
        <v>58372</v>
      </c>
      <c r="L472" s="1">
        <v>45169</v>
      </c>
      <c r="M472" s="1" t="s">
        <v>3165</v>
      </c>
      <c r="N472" t="s">
        <v>1095</v>
      </c>
      <c r="O472" t="s">
        <v>3149</v>
      </c>
    </row>
    <row r="473" spans="1:15" x14ac:dyDescent="0.3">
      <c r="A473" t="s">
        <v>1096</v>
      </c>
      <c r="B473">
        <v>6</v>
      </c>
      <c r="C473" s="1">
        <v>44434</v>
      </c>
      <c r="D473" t="s">
        <v>1097</v>
      </c>
      <c r="E473" t="s">
        <v>1098</v>
      </c>
      <c r="F473" t="s">
        <v>15</v>
      </c>
      <c r="G473" t="s">
        <v>95</v>
      </c>
      <c r="H473">
        <v>126</v>
      </c>
      <c r="I473">
        <v>2014</v>
      </c>
      <c r="J473" t="s">
        <v>325</v>
      </c>
      <c r="K473">
        <v>11846</v>
      </c>
      <c r="L473" s="1">
        <v>41780</v>
      </c>
      <c r="M473" s="1" t="s">
        <v>3154</v>
      </c>
      <c r="N473" t="s">
        <v>1099</v>
      </c>
      <c r="O473" t="s">
        <v>3149</v>
      </c>
    </row>
    <row r="474" spans="1:15" x14ac:dyDescent="0.3">
      <c r="A474" t="s">
        <v>1100</v>
      </c>
      <c r="B474">
        <v>8</v>
      </c>
      <c r="C474" s="1">
        <v>44146</v>
      </c>
      <c r="D474" t="s">
        <v>1101</v>
      </c>
      <c r="E474" t="s">
        <v>1102</v>
      </c>
      <c r="F474" t="s">
        <v>15</v>
      </c>
      <c r="G474" t="s">
        <v>61</v>
      </c>
      <c r="H474">
        <v>94</v>
      </c>
      <c r="I474">
        <v>2012</v>
      </c>
      <c r="J474" t="s">
        <v>1103</v>
      </c>
      <c r="K474">
        <v>364051</v>
      </c>
      <c r="L474" s="1">
        <v>41045</v>
      </c>
      <c r="M474" s="1" t="s">
        <v>3165</v>
      </c>
      <c r="N474" t="s">
        <v>298</v>
      </c>
      <c r="O474" t="s">
        <v>3149</v>
      </c>
    </row>
    <row r="475" spans="1:15" x14ac:dyDescent="0.3">
      <c r="A475" t="s">
        <v>1104</v>
      </c>
      <c r="B475">
        <v>7</v>
      </c>
      <c r="C475" s="1">
        <v>45246</v>
      </c>
      <c r="D475" t="s">
        <v>1105</v>
      </c>
      <c r="E475" t="s">
        <v>1106</v>
      </c>
      <c r="F475" t="s">
        <v>15</v>
      </c>
      <c r="G475" t="s">
        <v>67</v>
      </c>
      <c r="H475">
        <v>91</v>
      </c>
      <c r="I475">
        <v>2023</v>
      </c>
      <c r="J475" t="s">
        <v>235</v>
      </c>
      <c r="K475">
        <v>26964</v>
      </c>
      <c r="L475" s="1">
        <v>44996</v>
      </c>
      <c r="M475" s="1" t="s">
        <v>3165</v>
      </c>
      <c r="N475" t="s">
        <v>375</v>
      </c>
      <c r="O475" t="s">
        <v>3175</v>
      </c>
    </row>
    <row r="476" spans="1:15" x14ac:dyDescent="0.3">
      <c r="A476" t="s">
        <v>1107</v>
      </c>
      <c r="B476">
        <v>7</v>
      </c>
      <c r="C476" s="1">
        <v>44863</v>
      </c>
      <c r="D476" t="s">
        <v>1108</v>
      </c>
      <c r="E476" t="s">
        <v>1109</v>
      </c>
      <c r="F476" t="s">
        <v>15</v>
      </c>
      <c r="G476" t="s">
        <v>524</v>
      </c>
      <c r="H476">
        <v>148</v>
      </c>
      <c r="I476">
        <v>2014</v>
      </c>
      <c r="J476" t="s">
        <v>292</v>
      </c>
      <c r="K476">
        <v>109514</v>
      </c>
      <c r="L476" s="1">
        <v>41916</v>
      </c>
      <c r="M476" s="1" t="s">
        <v>3165</v>
      </c>
      <c r="N476" t="s">
        <v>356</v>
      </c>
      <c r="O476" t="s">
        <v>3149</v>
      </c>
    </row>
    <row r="477" spans="1:15" x14ac:dyDescent="0.3">
      <c r="A477" t="s">
        <v>1110</v>
      </c>
      <c r="B477">
        <v>8</v>
      </c>
      <c r="C477" s="1">
        <v>44555</v>
      </c>
      <c r="D477" t="s">
        <v>1111</v>
      </c>
      <c r="E477" t="s">
        <v>1112</v>
      </c>
      <c r="F477" t="s">
        <v>15</v>
      </c>
      <c r="G477" t="s">
        <v>29</v>
      </c>
      <c r="H477">
        <v>126</v>
      </c>
      <c r="I477">
        <v>2013</v>
      </c>
      <c r="J477" t="s">
        <v>1113</v>
      </c>
      <c r="K477">
        <v>657042</v>
      </c>
      <c r="L477" s="1">
        <v>41559</v>
      </c>
      <c r="M477" s="1" t="s">
        <v>3165</v>
      </c>
      <c r="N477" t="s">
        <v>1114</v>
      </c>
      <c r="O477" t="s">
        <v>3149</v>
      </c>
    </row>
    <row r="478" spans="1:15" x14ac:dyDescent="0.3">
      <c r="A478" t="s">
        <v>1115</v>
      </c>
      <c r="B478">
        <v>7</v>
      </c>
      <c r="C478" s="1">
        <v>44515</v>
      </c>
      <c r="D478" t="s">
        <v>1116</v>
      </c>
      <c r="E478" t="s">
        <v>1117</v>
      </c>
      <c r="F478" t="s">
        <v>15</v>
      </c>
      <c r="G478" t="s">
        <v>79</v>
      </c>
      <c r="H478">
        <v>138</v>
      </c>
      <c r="I478">
        <v>2013</v>
      </c>
      <c r="J478" t="s">
        <v>325</v>
      </c>
      <c r="K478">
        <v>496608</v>
      </c>
      <c r="L478" s="1">
        <v>41611</v>
      </c>
      <c r="M478" s="1" t="s">
        <v>3165</v>
      </c>
      <c r="N478" t="s">
        <v>134</v>
      </c>
      <c r="O478" t="s">
        <v>3149</v>
      </c>
    </row>
    <row r="479" spans="1:15" x14ac:dyDescent="0.3">
      <c r="A479" t="s">
        <v>1125</v>
      </c>
      <c r="B479">
        <v>8</v>
      </c>
      <c r="C479" s="1">
        <v>44952</v>
      </c>
      <c r="D479" t="s">
        <v>1126</v>
      </c>
      <c r="E479" t="s">
        <v>1127</v>
      </c>
      <c r="F479" t="s">
        <v>15</v>
      </c>
      <c r="G479" t="s">
        <v>41</v>
      </c>
      <c r="H479">
        <v>89</v>
      </c>
      <c r="I479">
        <v>2010</v>
      </c>
      <c r="J479" t="s">
        <v>1128</v>
      </c>
      <c r="K479">
        <v>184</v>
      </c>
      <c r="L479" s="1">
        <v>40512</v>
      </c>
      <c r="M479" s="1" t="s">
        <v>3180</v>
      </c>
      <c r="N479" t="s">
        <v>1129</v>
      </c>
      <c r="O479" t="s">
        <v>3149</v>
      </c>
    </row>
    <row r="480" spans="1:15" x14ac:dyDescent="0.3">
      <c r="A480" t="s">
        <v>1130</v>
      </c>
      <c r="B480">
        <v>8</v>
      </c>
      <c r="C480" s="1">
        <v>43491</v>
      </c>
      <c r="D480" t="s">
        <v>1131</v>
      </c>
      <c r="E480" t="s">
        <v>1132</v>
      </c>
      <c r="F480" t="s">
        <v>15</v>
      </c>
      <c r="G480" t="s">
        <v>158</v>
      </c>
      <c r="H480">
        <v>109</v>
      </c>
      <c r="I480">
        <v>2011</v>
      </c>
      <c r="J480" t="s">
        <v>1133</v>
      </c>
      <c r="K480">
        <v>1520</v>
      </c>
      <c r="L480" s="1">
        <v>40590</v>
      </c>
      <c r="M480" s="1" t="s">
        <v>3180</v>
      </c>
      <c r="N480" t="s">
        <v>1134</v>
      </c>
      <c r="O480" t="s">
        <v>3149</v>
      </c>
    </row>
    <row r="481" spans="1:15" x14ac:dyDescent="0.3">
      <c r="A481" t="s">
        <v>1135</v>
      </c>
      <c r="B481">
        <v>8</v>
      </c>
      <c r="C481" s="1">
        <v>44503</v>
      </c>
      <c r="D481" t="s">
        <v>1136</v>
      </c>
      <c r="E481" t="s">
        <v>1137</v>
      </c>
      <c r="F481" t="s">
        <v>47</v>
      </c>
      <c r="G481" t="s">
        <v>56</v>
      </c>
      <c r="H481">
        <v>27</v>
      </c>
      <c r="I481">
        <v>2012</v>
      </c>
      <c r="J481" t="s">
        <v>456</v>
      </c>
      <c r="K481">
        <v>93</v>
      </c>
      <c r="L481" s="1">
        <v>40909</v>
      </c>
      <c r="M481" s="1" t="s">
        <v>3171</v>
      </c>
      <c r="N481" t="s">
        <v>1138</v>
      </c>
      <c r="O481" t="s">
        <v>3175</v>
      </c>
    </row>
    <row r="482" spans="1:15" x14ac:dyDescent="0.3">
      <c r="A482" t="s">
        <v>1142</v>
      </c>
      <c r="B482">
        <v>8</v>
      </c>
      <c r="C482" s="1">
        <v>43920</v>
      </c>
      <c r="D482" t="s">
        <v>1143</v>
      </c>
      <c r="E482" t="s">
        <v>1144</v>
      </c>
      <c r="F482" t="s">
        <v>15</v>
      </c>
      <c r="G482" t="s">
        <v>23</v>
      </c>
      <c r="H482">
        <v>165</v>
      </c>
      <c r="I482">
        <v>2012</v>
      </c>
      <c r="J482" t="s">
        <v>128</v>
      </c>
      <c r="K482">
        <v>1661064</v>
      </c>
      <c r="L482" s="1">
        <v>41254</v>
      </c>
      <c r="M482" s="1" t="s">
        <v>3165</v>
      </c>
      <c r="N482" t="s">
        <v>189</v>
      </c>
      <c r="O482" t="s">
        <v>3149</v>
      </c>
    </row>
    <row r="483" spans="1:15" x14ac:dyDescent="0.3">
      <c r="A483" t="s">
        <v>1150</v>
      </c>
      <c r="B483">
        <v>7</v>
      </c>
      <c r="C483" s="1">
        <v>45171</v>
      </c>
      <c r="D483" t="s">
        <v>1151</v>
      </c>
      <c r="E483" t="s">
        <v>1152</v>
      </c>
      <c r="F483" t="s">
        <v>15</v>
      </c>
      <c r="G483" t="s">
        <v>198</v>
      </c>
      <c r="H483">
        <v>97</v>
      </c>
      <c r="I483">
        <v>2022</v>
      </c>
      <c r="J483" t="s">
        <v>1153</v>
      </c>
      <c r="K483">
        <v>11963</v>
      </c>
      <c r="L483" s="1">
        <v>44703</v>
      </c>
      <c r="M483" s="1" t="s">
        <v>3177</v>
      </c>
      <c r="N483" t="s">
        <v>1154</v>
      </c>
      <c r="O483" t="s">
        <v>3149</v>
      </c>
    </row>
    <row r="484" spans="1:15" x14ac:dyDescent="0.3">
      <c r="A484" t="s">
        <v>1155</v>
      </c>
      <c r="B484">
        <v>8</v>
      </c>
      <c r="C484" s="1">
        <v>45289</v>
      </c>
      <c r="D484" t="s">
        <v>1156</v>
      </c>
      <c r="E484" t="s">
        <v>1157</v>
      </c>
      <c r="F484" t="s">
        <v>22</v>
      </c>
      <c r="G484" t="s">
        <v>927</v>
      </c>
      <c r="H484">
        <v>270</v>
      </c>
      <c r="I484">
        <v>2013</v>
      </c>
      <c r="J484" t="s">
        <v>1158</v>
      </c>
      <c r="K484">
        <v>32068</v>
      </c>
      <c r="L484" s="1">
        <v>41334</v>
      </c>
      <c r="M484" s="1" t="s">
        <v>3180</v>
      </c>
      <c r="N484" t="s">
        <v>3181</v>
      </c>
      <c r="O484" t="s">
        <v>3149</v>
      </c>
    </row>
    <row r="485" spans="1:15" x14ac:dyDescent="0.3">
      <c r="A485" t="s">
        <v>1159</v>
      </c>
      <c r="B485">
        <v>8</v>
      </c>
      <c r="C485" s="1">
        <v>44943</v>
      </c>
      <c r="D485" t="s">
        <v>1160</v>
      </c>
      <c r="E485" t="s">
        <v>1161</v>
      </c>
      <c r="F485" t="s">
        <v>15</v>
      </c>
      <c r="G485" t="s">
        <v>95</v>
      </c>
      <c r="H485">
        <v>103</v>
      </c>
      <c r="I485">
        <v>2022</v>
      </c>
      <c r="J485" t="s">
        <v>1162</v>
      </c>
      <c r="K485">
        <v>84969</v>
      </c>
      <c r="L485" s="1">
        <v>44807</v>
      </c>
      <c r="M485" s="1" t="s">
        <v>3165</v>
      </c>
      <c r="N485" t="s">
        <v>739</v>
      </c>
      <c r="O485" t="s">
        <v>3149</v>
      </c>
    </row>
    <row r="486" spans="1:15" x14ac:dyDescent="0.3">
      <c r="A486" t="s">
        <v>1163</v>
      </c>
      <c r="B486">
        <v>6</v>
      </c>
      <c r="C486" s="1">
        <v>45160</v>
      </c>
      <c r="D486" t="s">
        <v>1164</v>
      </c>
      <c r="E486" t="s">
        <v>1165</v>
      </c>
      <c r="F486" t="s">
        <v>47</v>
      </c>
      <c r="G486" t="s">
        <v>25</v>
      </c>
      <c r="H486">
        <v>11</v>
      </c>
      <c r="I486">
        <v>2016</v>
      </c>
      <c r="J486" t="s">
        <v>48</v>
      </c>
      <c r="L486" s="1">
        <v>42460</v>
      </c>
      <c r="M486" s="1" t="s">
        <v>3154</v>
      </c>
      <c r="N486" t="s">
        <v>1166</v>
      </c>
    </row>
    <row r="487" spans="1:15" x14ac:dyDescent="0.3">
      <c r="A487" t="s">
        <v>1167</v>
      </c>
      <c r="B487">
        <v>4</v>
      </c>
      <c r="C487" s="1">
        <v>44402</v>
      </c>
      <c r="D487" t="s">
        <v>1168</v>
      </c>
      <c r="E487" t="s">
        <v>1169</v>
      </c>
      <c r="F487" t="s">
        <v>15</v>
      </c>
      <c r="G487" t="s">
        <v>1170</v>
      </c>
      <c r="H487">
        <v>94</v>
      </c>
      <c r="I487">
        <v>2012</v>
      </c>
      <c r="J487" t="s">
        <v>1171</v>
      </c>
      <c r="K487">
        <v>10398</v>
      </c>
      <c r="L487" s="1">
        <v>40929</v>
      </c>
      <c r="M487" s="1" t="s">
        <v>3155</v>
      </c>
      <c r="N487" t="s">
        <v>1172</v>
      </c>
      <c r="O487" t="s">
        <v>3149</v>
      </c>
    </row>
    <row r="488" spans="1:15" x14ac:dyDescent="0.3">
      <c r="A488" t="s">
        <v>1173</v>
      </c>
      <c r="B488">
        <v>5</v>
      </c>
      <c r="C488" s="1">
        <v>43571</v>
      </c>
      <c r="D488" t="s">
        <v>1174</v>
      </c>
      <c r="E488" t="s">
        <v>1175</v>
      </c>
      <c r="F488" t="s">
        <v>15</v>
      </c>
      <c r="G488" t="s">
        <v>461</v>
      </c>
      <c r="H488">
        <v>105</v>
      </c>
      <c r="I488">
        <v>2014</v>
      </c>
      <c r="J488" t="s">
        <v>1176</v>
      </c>
      <c r="K488">
        <v>115573</v>
      </c>
      <c r="L488" s="1">
        <v>41688</v>
      </c>
      <c r="M488" s="1" t="s">
        <v>3165</v>
      </c>
      <c r="N488" t="s">
        <v>1177</v>
      </c>
      <c r="O488" t="s">
        <v>3149</v>
      </c>
    </row>
    <row r="489" spans="1:15" x14ac:dyDescent="0.3">
      <c r="A489" t="s">
        <v>1178</v>
      </c>
      <c r="B489">
        <v>3</v>
      </c>
      <c r="C489" s="1">
        <v>45159</v>
      </c>
      <c r="D489" t="s">
        <v>1179</v>
      </c>
      <c r="E489" t="s">
        <v>1180</v>
      </c>
      <c r="F489" t="s">
        <v>15</v>
      </c>
      <c r="G489" t="s">
        <v>35</v>
      </c>
      <c r="H489">
        <v>110</v>
      </c>
      <c r="I489">
        <v>2011</v>
      </c>
      <c r="J489" t="s">
        <v>1181</v>
      </c>
      <c r="K489">
        <v>1509</v>
      </c>
      <c r="L489" s="1">
        <v>40807</v>
      </c>
      <c r="M489" s="1" t="s">
        <v>3154</v>
      </c>
      <c r="N489" t="s">
        <v>1182</v>
      </c>
      <c r="O489" t="s">
        <v>3149</v>
      </c>
    </row>
    <row r="490" spans="1:15" x14ac:dyDescent="0.3">
      <c r="A490" t="s">
        <v>1183</v>
      </c>
      <c r="B490">
        <v>6</v>
      </c>
      <c r="C490" s="1">
        <v>43821</v>
      </c>
      <c r="D490" t="s">
        <v>1184</v>
      </c>
      <c r="E490" t="s">
        <v>1185</v>
      </c>
      <c r="F490" t="s">
        <v>15</v>
      </c>
      <c r="G490" t="s">
        <v>931</v>
      </c>
      <c r="H490">
        <v>87</v>
      </c>
      <c r="I490">
        <v>2017</v>
      </c>
      <c r="J490" t="s">
        <v>421</v>
      </c>
      <c r="K490">
        <v>15300</v>
      </c>
      <c r="L490" s="1">
        <v>42915</v>
      </c>
      <c r="M490" s="1" t="s">
        <v>3165</v>
      </c>
      <c r="N490" t="s">
        <v>1186</v>
      </c>
      <c r="O490" t="s">
        <v>3149</v>
      </c>
    </row>
    <row r="491" spans="1:15" x14ac:dyDescent="0.3">
      <c r="A491" t="s">
        <v>1187</v>
      </c>
      <c r="B491">
        <v>8</v>
      </c>
      <c r="C491" s="1">
        <v>44325</v>
      </c>
      <c r="D491" t="s">
        <v>1188</v>
      </c>
      <c r="E491" t="s">
        <v>1189</v>
      </c>
      <c r="F491" t="s">
        <v>15</v>
      </c>
      <c r="G491" t="s">
        <v>35</v>
      </c>
      <c r="H491">
        <v>117</v>
      </c>
      <c r="I491">
        <v>2013</v>
      </c>
      <c r="J491" t="s">
        <v>24</v>
      </c>
      <c r="K491">
        <v>130030</v>
      </c>
      <c r="L491" s="1">
        <v>41633</v>
      </c>
      <c r="M491" s="1" t="s">
        <v>3188</v>
      </c>
      <c r="N491" t="s">
        <v>914</v>
      </c>
      <c r="O491" t="s">
        <v>3149</v>
      </c>
    </row>
    <row r="492" spans="1:15" x14ac:dyDescent="0.3">
      <c r="A492" t="s">
        <v>1190</v>
      </c>
      <c r="B492">
        <v>7</v>
      </c>
      <c r="C492" s="1">
        <v>45290</v>
      </c>
      <c r="D492" t="s">
        <v>1191</v>
      </c>
      <c r="E492" t="s">
        <v>1192</v>
      </c>
      <c r="F492" t="s">
        <v>15</v>
      </c>
      <c r="G492" t="s">
        <v>16</v>
      </c>
      <c r="H492">
        <v>86</v>
      </c>
      <c r="I492">
        <v>2012</v>
      </c>
      <c r="J492" t="s">
        <v>261</v>
      </c>
      <c r="K492">
        <v>17346</v>
      </c>
      <c r="L492" s="1">
        <v>41093</v>
      </c>
      <c r="M492" s="1" t="s">
        <v>3180</v>
      </c>
      <c r="N492" t="s">
        <v>1193</v>
      </c>
      <c r="O492" t="s">
        <v>3149</v>
      </c>
    </row>
    <row r="493" spans="1:15" x14ac:dyDescent="0.3">
      <c r="A493" t="s">
        <v>1206</v>
      </c>
      <c r="B493">
        <v>9</v>
      </c>
      <c r="C493" s="1">
        <v>44630</v>
      </c>
      <c r="D493" t="s">
        <v>1207</v>
      </c>
      <c r="E493" t="s">
        <v>1208</v>
      </c>
      <c r="F493" t="s">
        <v>15</v>
      </c>
      <c r="G493" t="s">
        <v>105</v>
      </c>
      <c r="H493">
        <v>117</v>
      </c>
      <c r="I493">
        <v>2016</v>
      </c>
      <c r="J493" t="s">
        <v>421</v>
      </c>
      <c r="K493">
        <v>102603</v>
      </c>
      <c r="L493" s="1">
        <v>42510</v>
      </c>
      <c r="M493" s="1" t="s">
        <v>3188</v>
      </c>
      <c r="N493" t="s">
        <v>972</v>
      </c>
      <c r="O493" t="s">
        <v>3149</v>
      </c>
    </row>
    <row r="494" spans="1:15" x14ac:dyDescent="0.3">
      <c r="A494" t="s">
        <v>1213</v>
      </c>
      <c r="B494">
        <v>8</v>
      </c>
      <c r="C494" s="1">
        <v>44927</v>
      </c>
      <c r="D494" t="s">
        <v>1214</v>
      </c>
      <c r="E494" t="s">
        <v>1215</v>
      </c>
      <c r="F494" t="s">
        <v>15</v>
      </c>
      <c r="G494" t="s">
        <v>84</v>
      </c>
      <c r="H494">
        <v>102</v>
      </c>
      <c r="I494">
        <v>2022</v>
      </c>
      <c r="J494" t="s">
        <v>24</v>
      </c>
      <c r="K494">
        <v>82131</v>
      </c>
      <c r="L494" s="1">
        <v>44702</v>
      </c>
      <c r="M494" s="1" t="s">
        <v>3171</v>
      </c>
      <c r="N494" t="s">
        <v>1216</v>
      </c>
      <c r="O494" t="s">
        <v>3175</v>
      </c>
    </row>
    <row r="495" spans="1:15" x14ac:dyDescent="0.3">
      <c r="A495" t="s">
        <v>1217</v>
      </c>
      <c r="B495">
        <v>8</v>
      </c>
      <c r="C495" s="1">
        <v>45034</v>
      </c>
      <c r="D495" t="s">
        <v>1218</v>
      </c>
      <c r="E495" t="s">
        <v>1219</v>
      </c>
      <c r="F495" t="s">
        <v>15</v>
      </c>
      <c r="G495" t="s">
        <v>29</v>
      </c>
      <c r="H495">
        <v>105</v>
      </c>
      <c r="I495">
        <v>2022</v>
      </c>
      <c r="J495" t="s">
        <v>235</v>
      </c>
      <c r="K495">
        <v>3281</v>
      </c>
      <c r="L495" s="1">
        <v>44810</v>
      </c>
      <c r="M495" s="1" t="s">
        <v>3154</v>
      </c>
      <c r="N495" t="s">
        <v>1220</v>
      </c>
      <c r="O495" t="s">
        <v>3149</v>
      </c>
    </row>
    <row r="496" spans="1:15" x14ac:dyDescent="0.3">
      <c r="A496" t="s">
        <v>1221</v>
      </c>
      <c r="B496">
        <v>7</v>
      </c>
      <c r="C496" s="1">
        <v>44807</v>
      </c>
      <c r="D496" t="s">
        <v>1222</v>
      </c>
      <c r="E496" t="s">
        <v>1223</v>
      </c>
      <c r="F496" t="s">
        <v>551</v>
      </c>
      <c r="G496" t="s">
        <v>41</v>
      </c>
      <c r="H496">
        <v>64</v>
      </c>
      <c r="I496">
        <v>2022</v>
      </c>
      <c r="J496" t="s">
        <v>235</v>
      </c>
      <c r="K496">
        <v>22242</v>
      </c>
      <c r="L496" s="1">
        <v>44705</v>
      </c>
      <c r="M496" s="1" t="s">
        <v>3171</v>
      </c>
      <c r="N496" t="s">
        <v>1224</v>
      </c>
      <c r="O496" t="s">
        <v>3149</v>
      </c>
    </row>
    <row r="497" spans="1:15" x14ac:dyDescent="0.3">
      <c r="A497" t="s">
        <v>1234</v>
      </c>
      <c r="B497">
        <v>6</v>
      </c>
      <c r="C497" s="1">
        <v>44436</v>
      </c>
      <c r="D497" t="s">
        <v>1235</v>
      </c>
      <c r="E497" t="s">
        <v>1236</v>
      </c>
      <c r="F497" t="s">
        <v>15</v>
      </c>
      <c r="G497" t="s">
        <v>346</v>
      </c>
      <c r="H497">
        <v>125</v>
      </c>
      <c r="I497">
        <v>2015</v>
      </c>
      <c r="J497" t="s">
        <v>1237</v>
      </c>
      <c r="K497">
        <v>32246</v>
      </c>
      <c r="L497" s="1">
        <v>42253</v>
      </c>
      <c r="M497" s="1" t="s">
        <v>3194</v>
      </c>
      <c r="N497" t="s">
        <v>69</v>
      </c>
      <c r="O497" t="s">
        <v>3149</v>
      </c>
    </row>
    <row r="498" spans="1:15" x14ac:dyDescent="0.3">
      <c r="A498" t="s">
        <v>1238</v>
      </c>
      <c r="B498">
        <v>8</v>
      </c>
      <c r="C498" s="1">
        <v>43691</v>
      </c>
      <c r="D498" t="s">
        <v>1239</v>
      </c>
      <c r="E498" t="s">
        <v>1240</v>
      </c>
      <c r="F498" t="s">
        <v>15</v>
      </c>
      <c r="G498" t="s">
        <v>16</v>
      </c>
      <c r="H498">
        <v>121</v>
      </c>
      <c r="I498">
        <v>2019</v>
      </c>
      <c r="J498" t="s">
        <v>1241</v>
      </c>
      <c r="K498">
        <v>190429</v>
      </c>
      <c r="L498" s="1">
        <v>43601</v>
      </c>
      <c r="M498" s="1" t="s">
        <v>3171</v>
      </c>
      <c r="N498" t="s">
        <v>1242</v>
      </c>
      <c r="O498" t="s">
        <v>3149</v>
      </c>
    </row>
    <row r="499" spans="1:15" x14ac:dyDescent="0.3">
      <c r="A499" t="s">
        <v>1243</v>
      </c>
      <c r="B499">
        <v>8</v>
      </c>
      <c r="C499" s="1">
        <v>44910</v>
      </c>
      <c r="D499" t="s">
        <v>1244</v>
      </c>
      <c r="E499" t="s">
        <v>1245</v>
      </c>
      <c r="F499" t="s">
        <v>47</v>
      </c>
      <c r="G499" t="s">
        <v>284</v>
      </c>
      <c r="H499">
        <v>18</v>
      </c>
      <c r="I499">
        <v>2022</v>
      </c>
      <c r="J499" t="s">
        <v>48</v>
      </c>
      <c r="K499">
        <v>12</v>
      </c>
      <c r="L499" s="1">
        <v>44709</v>
      </c>
      <c r="M499" s="1" t="s">
        <v>3154</v>
      </c>
      <c r="N499" t="s">
        <v>1246</v>
      </c>
      <c r="O499" t="s">
        <v>3175</v>
      </c>
    </row>
    <row r="500" spans="1:15" x14ac:dyDescent="0.3">
      <c r="A500" t="s">
        <v>1247</v>
      </c>
      <c r="B500">
        <v>8</v>
      </c>
      <c r="C500" s="1">
        <v>43385</v>
      </c>
      <c r="D500" t="s">
        <v>1248</v>
      </c>
      <c r="E500" t="s">
        <v>1249</v>
      </c>
      <c r="F500" t="s">
        <v>15</v>
      </c>
      <c r="G500" t="s">
        <v>29</v>
      </c>
      <c r="H500">
        <v>114</v>
      </c>
      <c r="I500">
        <v>2014</v>
      </c>
      <c r="J500" t="s">
        <v>1250</v>
      </c>
      <c r="K500">
        <v>812685</v>
      </c>
      <c r="L500" s="1">
        <v>41880</v>
      </c>
      <c r="M500" s="1" t="s">
        <v>3165</v>
      </c>
      <c r="N500" t="s">
        <v>1251</v>
      </c>
      <c r="O500" t="s">
        <v>3149</v>
      </c>
    </row>
    <row r="501" spans="1:15" x14ac:dyDescent="0.3">
      <c r="A501" t="s">
        <v>1255</v>
      </c>
      <c r="B501">
        <v>7</v>
      </c>
      <c r="C501" s="1">
        <v>44496</v>
      </c>
      <c r="D501" t="s">
        <v>1256</v>
      </c>
      <c r="E501" t="s">
        <v>1257</v>
      </c>
      <c r="F501" t="s">
        <v>47</v>
      </c>
      <c r="G501" t="s">
        <v>524</v>
      </c>
      <c r="H501">
        <v>5</v>
      </c>
      <c r="I501">
        <v>1995</v>
      </c>
      <c r="J501" t="s">
        <v>90</v>
      </c>
      <c r="K501">
        <v>34</v>
      </c>
      <c r="L501" s="1">
        <v>34885</v>
      </c>
      <c r="M501" s="1" t="s">
        <v>3171</v>
      </c>
      <c r="N501" t="s">
        <v>1258</v>
      </c>
      <c r="O501" t="s">
        <v>3175</v>
      </c>
    </row>
    <row r="502" spans="1:15" x14ac:dyDescent="0.3">
      <c r="A502" t="s">
        <v>1259</v>
      </c>
      <c r="B502">
        <v>8</v>
      </c>
      <c r="C502" s="1">
        <v>44437</v>
      </c>
      <c r="D502" t="s">
        <v>1260</v>
      </c>
      <c r="E502" t="s">
        <v>1261</v>
      </c>
      <c r="F502" t="s">
        <v>551</v>
      </c>
      <c r="G502" t="s">
        <v>187</v>
      </c>
      <c r="H502">
        <v>63</v>
      </c>
      <c r="I502">
        <v>2011</v>
      </c>
      <c r="J502" t="s">
        <v>235</v>
      </c>
      <c r="K502">
        <v>10224</v>
      </c>
      <c r="L502" s="1">
        <v>40885</v>
      </c>
      <c r="M502" s="1" t="s">
        <v>3165</v>
      </c>
      <c r="N502" t="s">
        <v>552</v>
      </c>
      <c r="O502" t="s">
        <v>3149</v>
      </c>
    </row>
    <row r="503" spans="1:15" x14ac:dyDescent="0.3">
      <c r="A503" t="s">
        <v>1269</v>
      </c>
      <c r="B503">
        <v>6</v>
      </c>
      <c r="C503" s="1">
        <v>45250</v>
      </c>
      <c r="D503" t="s">
        <v>1270</v>
      </c>
      <c r="E503" t="s">
        <v>1271</v>
      </c>
      <c r="F503" t="s">
        <v>15</v>
      </c>
      <c r="G503" t="s">
        <v>95</v>
      </c>
      <c r="H503">
        <v>92</v>
      </c>
      <c r="I503">
        <v>2023</v>
      </c>
      <c r="J503" t="s">
        <v>235</v>
      </c>
      <c r="K503">
        <v>12964</v>
      </c>
      <c r="L503" s="1">
        <v>44947</v>
      </c>
      <c r="M503" s="1" t="s">
        <v>3165</v>
      </c>
      <c r="N503" t="s">
        <v>1272</v>
      </c>
    </row>
    <row r="504" spans="1:15" x14ac:dyDescent="0.3">
      <c r="A504" t="s">
        <v>1276</v>
      </c>
      <c r="B504">
        <v>6</v>
      </c>
      <c r="C504" s="1">
        <v>44882</v>
      </c>
      <c r="D504" t="s">
        <v>1277</v>
      </c>
      <c r="E504" t="s">
        <v>1278</v>
      </c>
      <c r="F504" t="s">
        <v>47</v>
      </c>
      <c r="G504" t="s">
        <v>346</v>
      </c>
      <c r="H504">
        <v>13</v>
      </c>
      <c r="I504">
        <v>1966</v>
      </c>
      <c r="J504" t="s">
        <v>456</v>
      </c>
      <c r="K504">
        <v>345</v>
      </c>
      <c r="L504" s="1">
        <v>24236</v>
      </c>
      <c r="M504" s="1" t="s">
        <v>3179</v>
      </c>
      <c r="N504" t="s">
        <v>1279</v>
      </c>
      <c r="O504" t="s">
        <v>3149</v>
      </c>
    </row>
    <row r="505" spans="1:15" x14ac:dyDescent="0.3">
      <c r="A505" t="s">
        <v>1283</v>
      </c>
      <c r="B505">
        <v>5</v>
      </c>
      <c r="C505" s="1">
        <v>44890</v>
      </c>
      <c r="D505" t="s">
        <v>1284</v>
      </c>
      <c r="E505" t="s">
        <v>1285</v>
      </c>
      <c r="F505" t="s">
        <v>708</v>
      </c>
      <c r="G505" t="s">
        <v>25</v>
      </c>
      <c r="H505">
        <v>5</v>
      </c>
      <c r="I505">
        <v>2022</v>
      </c>
      <c r="J505" t="s">
        <v>48</v>
      </c>
      <c r="L505" s="1">
        <v>44737</v>
      </c>
      <c r="M505" s="1" t="s">
        <v>3154</v>
      </c>
      <c r="N505" t="s">
        <v>785</v>
      </c>
      <c r="O505" t="s">
        <v>3175</v>
      </c>
    </row>
    <row r="506" spans="1:15" x14ac:dyDescent="0.3">
      <c r="A506" t="s">
        <v>1286</v>
      </c>
      <c r="B506">
        <v>6</v>
      </c>
      <c r="C506" s="1">
        <v>44883</v>
      </c>
      <c r="D506" t="s">
        <v>1287</v>
      </c>
      <c r="E506" t="s">
        <v>1288</v>
      </c>
      <c r="F506" t="s">
        <v>15</v>
      </c>
      <c r="G506" t="s">
        <v>61</v>
      </c>
      <c r="H506">
        <v>96</v>
      </c>
      <c r="I506">
        <v>2022</v>
      </c>
      <c r="J506" t="s">
        <v>96</v>
      </c>
      <c r="K506">
        <v>17090</v>
      </c>
      <c r="L506" s="1">
        <v>44879</v>
      </c>
      <c r="M506" s="1" t="s">
        <v>3165</v>
      </c>
      <c r="N506" t="s">
        <v>1289</v>
      </c>
      <c r="O506" t="s">
        <v>3149</v>
      </c>
    </row>
    <row r="507" spans="1:15" x14ac:dyDescent="0.3">
      <c r="A507" t="s">
        <v>1290</v>
      </c>
      <c r="B507">
        <v>8</v>
      </c>
      <c r="C507" s="1">
        <v>44846</v>
      </c>
      <c r="D507" t="s">
        <v>1291</v>
      </c>
      <c r="E507" t="s">
        <v>1292</v>
      </c>
      <c r="F507" t="s">
        <v>15</v>
      </c>
      <c r="G507" t="s">
        <v>25</v>
      </c>
      <c r="H507">
        <v>70</v>
      </c>
      <c r="I507">
        <v>2022</v>
      </c>
      <c r="J507" t="s">
        <v>96</v>
      </c>
      <c r="L507" s="1">
        <v>44839</v>
      </c>
      <c r="M507" s="1" t="s">
        <v>3154</v>
      </c>
      <c r="N507" t="s">
        <v>1293</v>
      </c>
    </row>
    <row r="508" spans="1:15" x14ac:dyDescent="0.3">
      <c r="A508" t="s">
        <v>1294</v>
      </c>
      <c r="B508">
        <v>7</v>
      </c>
      <c r="C508" s="1">
        <v>44838</v>
      </c>
      <c r="D508" t="s">
        <v>1295</v>
      </c>
      <c r="E508" t="s">
        <v>1296</v>
      </c>
      <c r="F508" t="s">
        <v>15</v>
      </c>
      <c r="G508" t="s">
        <v>369</v>
      </c>
      <c r="H508">
        <v>92</v>
      </c>
      <c r="I508">
        <v>2022</v>
      </c>
      <c r="J508" t="s">
        <v>96</v>
      </c>
      <c r="K508">
        <v>6</v>
      </c>
      <c r="L508" s="1">
        <v>44655</v>
      </c>
      <c r="M508" s="1" t="s">
        <v>3154</v>
      </c>
      <c r="N508" t="s">
        <v>1297</v>
      </c>
      <c r="O508" t="s">
        <v>3149</v>
      </c>
    </row>
    <row r="509" spans="1:15" x14ac:dyDescent="0.3">
      <c r="A509" t="s">
        <v>1298</v>
      </c>
      <c r="B509">
        <v>7</v>
      </c>
      <c r="C509" s="1">
        <v>45278</v>
      </c>
      <c r="D509" t="s">
        <v>1299</v>
      </c>
      <c r="E509" t="s">
        <v>1300</v>
      </c>
      <c r="F509" t="s">
        <v>15</v>
      </c>
      <c r="G509" t="s">
        <v>67</v>
      </c>
      <c r="H509">
        <v>113</v>
      </c>
      <c r="I509">
        <v>2023</v>
      </c>
      <c r="J509" t="s">
        <v>1301</v>
      </c>
      <c r="K509">
        <v>11703</v>
      </c>
      <c r="L509" s="1">
        <v>45173</v>
      </c>
      <c r="M509" s="1" t="s">
        <v>3165</v>
      </c>
      <c r="N509" t="s">
        <v>796</v>
      </c>
      <c r="O509" t="s">
        <v>3175</v>
      </c>
    </row>
    <row r="510" spans="1:15" x14ac:dyDescent="0.3">
      <c r="A510" t="s">
        <v>1302</v>
      </c>
      <c r="B510">
        <v>7</v>
      </c>
      <c r="C510" s="1">
        <v>45254</v>
      </c>
      <c r="D510" t="s">
        <v>1303</v>
      </c>
      <c r="E510" t="s">
        <v>1304</v>
      </c>
      <c r="F510" t="s">
        <v>47</v>
      </c>
      <c r="G510" t="s">
        <v>284</v>
      </c>
      <c r="H510">
        <v>20</v>
      </c>
      <c r="I510">
        <v>2022</v>
      </c>
      <c r="J510" t="s">
        <v>199</v>
      </c>
      <c r="K510">
        <v>25</v>
      </c>
      <c r="L510" s="1">
        <v>44853</v>
      </c>
      <c r="M510" s="1" t="s">
        <v>3154</v>
      </c>
      <c r="N510" t="s">
        <v>1305</v>
      </c>
      <c r="O510" t="s">
        <v>3149</v>
      </c>
    </row>
    <row r="511" spans="1:15" x14ac:dyDescent="0.3">
      <c r="A511" t="s">
        <v>1306</v>
      </c>
      <c r="B511">
        <v>7</v>
      </c>
      <c r="C511" s="1">
        <v>45259</v>
      </c>
      <c r="D511" t="s">
        <v>1307</v>
      </c>
      <c r="E511" t="s">
        <v>1308</v>
      </c>
      <c r="F511" t="s">
        <v>15</v>
      </c>
      <c r="G511" t="s">
        <v>25</v>
      </c>
      <c r="H511">
        <v>20</v>
      </c>
      <c r="I511">
        <v>2023</v>
      </c>
      <c r="J511" t="s">
        <v>96</v>
      </c>
      <c r="L511" s="1">
        <v>45047</v>
      </c>
      <c r="M511" s="1" t="s">
        <v>3154</v>
      </c>
      <c r="N511" t="s">
        <v>1309</v>
      </c>
      <c r="O511" t="s">
        <v>3175</v>
      </c>
    </row>
    <row r="512" spans="1:15" x14ac:dyDescent="0.3">
      <c r="A512" t="s">
        <v>1310</v>
      </c>
      <c r="B512">
        <v>7</v>
      </c>
      <c r="C512" s="1">
        <v>45027</v>
      </c>
      <c r="D512" t="s">
        <v>1311</v>
      </c>
      <c r="E512" t="s">
        <v>1312</v>
      </c>
      <c r="F512" t="s">
        <v>15</v>
      </c>
      <c r="G512" t="s">
        <v>143</v>
      </c>
      <c r="H512">
        <v>109</v>
      </c>
      <c r="I512">
        <v>2013</v>
      </c>
      <c r="J512" t="s">
        <v>42</v>
      </c>
      <c r="K512">
        <v>169600</v>
      </c>
      <c r="L512" s="1">
        <v>41294</v>
      </c>
      <c r="M512" s="1" t="s">
        <v>3165</v>
      </c>
      <c r="N512" t="s">
        <v>342</v>
      </c>
      <c r="O512" t="s">
        <v>3149</v>
      </c>
    </row>
    <row r="513" spans="1:15" x14ac:dyDescent="0.3">
      <c r="A513" t="s">
        <v>1317</v>
      </c>
      <c r="B513">
        <v>8</v>
      </c>
      <c r="C513" s="1">
        <v>44649</v>
      </c>
      <c r="D513" t="s">
        <v>1318</v>
      </c>
      <c r="E513" t="s">
        <v>1319</v>
      </c>
      <c r="F513" t="s">
        <v>216</v>
      </c>
      <c r="G513" t="s">
        <v>369</v>
      </c>
      <c r="H513">
        <v>1594</v>
      </c>
      <c r="I513">
        <v>2020</v>
      </c>
      <c r="J513" t="s">
        <v>1320</v>
      </c>
      <c r="K513">
        <v>52649</v>
      </c>
      <c r="L513" s="1">
        <v>43965</v>
      </c>
      <c r="M513" s="1" t="s">
        <v>3165</v>
      </c>
      <c r="N513" s="2" t="s">
        <v>3190</v>
      </c>
      <c r="O513" t="s">
        <v>3149</v>
      </c>
    </row>
    <row r="514" spans="1:15" x14ac:dyDescent="0.3">
      <c r="A514" t="s">
        <v>1321</v>
      </c>
      <c r="B514">
        <v>6</v>
      </c>
      <c r="C514" s="1">
        <v>45259</v>
      </c>
      <c r="D514" t="s">
        <v>1322</v>
      </c>
      <c r="E514" t="s">
        <v>1323</v>
      </c>
      <c r="F514" t="s">
        <v>47</v>
      </c>
      <c r="G514" t="s">
        <v>25</v>
      </c>
      <c r="H514">
        <v>11</v>
      </c>
      <c r="I514">
        <v>2022</v>
      </c>
      <c r="J514" t="s">
        <v>199</v>
      </c>
      <c r="L514" s="1">
        <v>44870</v>
      </c>
      <c r="M514" s="1" t="s">
        <v>3154</v>
      </c>
      <c r="N514" t="s">
        <v>1324</v>
      </c>
      <c r="O514" t="s">
        <v>3149</v>
      </c>
    </row>
    <row r="515" spans="1:15" x14ac:dyDescent="0.3">
      <c r="A515" t="s">
        <v>1329</v>
      </c>
      <c r="B515">
        <v>7</v>
      </c>
      <c r="C515" s="1">
        <v>44891</v>
      </c>
      <c r="D515" t="s">
        <v>1330</v>
      </c>
      <c r="E515" t="s">
        <v>1331</v>
      </c>
      <c r="F515" t="s">
        <v>15</v>
      </c>
      <c r="G515" t="s">
        <v>334</v>
      </c>
      <c r="H515">
        <v>149</v>
      </c>
      <c r="I515">
        <v>2014</v>
      </c>
      <c r="J515" t="s">
        <v>178</v>
      </c>
      <c r="K515">
        <v>1046533</v>
      </c>
      <c r="L515" s="1">
        <v>41908</v>
      </c>
      <c r="M515" s="1" t="s">
        <v>3165</v>
      </c>
      <c r="N515" t="s">
        <v>205</v>
      </c>
      <c r="O515" t="s">
        <v>3149</v>
      </c>
    </row>
    <row r="516" spans="1:15" x14ac:dyDescent="0.3">
      <c r="A516" t="s">
        <v>1332</v>
      </c>
      <c r="B516">
        <v>7</v>
      </c>
      <c r="C516" s="1">
        <v>45273</v>
      </c>
      <c r="D516" t="s">
        <v>1333</v>
      </c>
      <c r="E516" t="s">
        <v>1334</v>
      </c>
      <c r="F516" t="s">
        <v>15</v>
      </c>
      <c r="G516" t="s">
        <v>73</v>
      </c>
      <c r="H516">
        <v>103</v>
      </c>
      <c r="I516">
        <v>2023</v>
      </c>
      <c r="J516" t="s">
        <v>1335</v>
      </c>
      <c r="K516">
        <v>90346</v>
      </c>
      <c r="L516" s="1">
        <v>45182</v>
      </c>
      <c r="M516" s="1" t="s">
        <v>3165</v>
      </c>
      <c r="N516" t="s">
        <v>641</v>
      </c>
      <c r="O516" t="s">
        <v>3149</v>
      </c>
    </row>
    <row r="517" spans="1:15" x14ac:dyDescent="0.3">
      <c r="A517" t="s">
        <v>1336</v>
      </c>
      <c r="B517">
        <v>8</v>
      </c>
      <c r="C517" s="1">
        <v>43622</v>
      </c>
      <c r="D517" t="s">
        <v>1337</v>
      </c>
      <c r="E517" t="s">
        <v>1338</v>
      </c>
      <c r="F517" t="s">
        <v>15</v>
      </c>
      <c r="G517" t="s">
        <v>334</v>
      </c>
      <c r="H517">
        <v>99</v>
      </c>
      <c r="I517">
        <v>2014</v>
      </c>
      <c r="J517" t="s">
        <v>1339</v>
      </c>
      <c r="K517">
        <v>870773</v>
      </c>
      <c r="L517" s="1">
        <v>41676</v>
      </c>
      <c r="M517" s="1" t="s">
        <v>3165</v>
      </c>
      <c r="N517" t="s">
        <v>298</v>
      </c>
      <c r="O517" t="s">
        <v>3149</v>
      </c>
    </row>
    <row r="518" spans="1:15" x14ac:dyDescent="0.3">
      <c r="A518" t="s">
        <v>1340</v>
      </c>
      <c r="B518">
        <v>7</v>
      </c>
      <c r="C518" s="1">
        <v>44842</v>
      </c>
      <c r="D518" t="s">
        <v>1341</v>
      </c>
      <c r="E518" t="s">
        <v>1342</v>
      </c>
      <c r="F518" t="s">
        <v>15</v>
      </c>
      <c r="G518" t="s">
        <v>84</v>
      </c>
      <c r="H518">
        <v>180</v>
      </c>
      <c r="I518">
        <v>2013</v>
      </c>
      <c r="J518" t="s">
        <v>42</v>
      </c>
      <c r="K518">
        <v>160996</v>
      </c>
      <c r="L518" s="1">
        <v>41417</v>
      </c>
      <c r="M518" s="1" t="s">
        <v>3155</v>
      </c>
      <c r="N518" t="s">
        <v>1343</v>
      </c>
      <c r="O518" t="s">
        <v>3149</v>
      </c>
    </row>
    <row r="519" spans="1:15" x14ac:dyDescent="0.3">
      <c r="A519" t="s">
        <v>1344</v>
      </c>
      <c r="B519">
        <v>7</v>
      </c>
      <c r="C519" s="1">
        <v>43571</v>
      </c>
      <c r="D519" t="s">
        <v>1345</v>
      </c>
      <c r="E519" t="s">
        <v>1346</v>
      </c>
      <c r="F519" t="s">
        <v>15</v>
      </c>
      <c r="G519" t="s">
        <v>35</v>
      </c>
      <c r="H519">
        <v>119</v>
      </c>
      <c r="I519">
        <v>2017</v>
      </c>
      <c r="J519" t="s">
        <v>1347</v>
      </c>
      <c r="K519">
        <v>413869</v>
      </c>
      <c r="L519" s="1">
        <v>43074</v>
      </c>
      <c r="M519" s="1" t="s">
        <v>3165</v>
      </c>
      <c r="N519" t="s">
        <v>1348</v>
      </c>
      <c r="O519" t="s">
        <v>3149</v>
      </c>
    </row>
    <row r="520" spans="1:15" x14ac:dyDescent="0.3">
      <c r="A520" t="s">
        <v>1353</v>
      </c>
      <c r="B520">
        <v>6</v>
      </c>
      <c r="C520" s="1">
        <v>45097</v>
      </c>
      <c r="D520" t="s">
        <v>1354</v>
      </c>
      <c r="E520" t="s">
        <v>1355</v>
      </c>
      <c r="F520" t="s">
        <v>15</v>
      </c>
      <c r="G520" t="s">
        <v>35</v>
      </c>
      <c r="H520">
        <v>91</v>
      </c>
      <c r="I520">
        <v>2013</v>
      </c>
      <c r="J520" t="s">
        <v>178</v>
      </c>
      <c r="K520">
        <v>209705</v>
      </c>
      <c r="L520" s="1">
        <v>41525</v>
      </c>
      <c r="M520" s="1" t="s">
        <v>3169</v>
      </c>
      <c r="N520" t="s">
        <v>444</v>
      </c>
      <c r="O520" t="s">
        <v>3149</v>
      </c>
    </row>
    <row r="521" spans="1:15" x14ac:dyDescent="0.3">
      <c r="A521" t="s">
        <v>1356</v>
      </c>
      <c r="B521">
        <v>7</v>
      </c>
      <c r="C521" s="1">
        <v>45044</v>
      </c>
      <c r="D521" t="s">
        <v>1357</v>
      </c>
      <c r="E521" t="s">
        <v>1358</v>
      </c>
      <c r="F521" t="s">
        <v>15</v>
      </c>
      <c r="G521" t="s">
        <v>16</v>
      </c>
      <c r="H521">
        <v>98</v>
      </c>
      <c r="I521">
        <v>2013</v>
      </c>
      <c r="J521" t="s">
        <v>17</v>
      </c>
      <c r="K521">
        <v>210997</v>
      </c>
      <c r="L521" s="1">
        <v>41477</v>
      </c>
      <c r="M521" s="1" t="s">
        <v>3165</v>
      </c>
      <c r="N521" t="s">
        <v>977</v>
      </c>
      <c r="O521" t="s">
        <v>3149</v>
      </c>
    </row>
    <row r="522" spans="1:15" x14ac:dyDescent="0.3">
      <c r="A522" t="s">
        <v>1364</v>
      </c>
      <c r="B522">
        <v>8</v>
      </c>
      <c r="C522" s="1">
        <v>44812</v>
      </c>
      <c r="D522" t="s">
        <v>1365</v>
      </c>
      <c r="E522" t="s">
        <v>1366</v>
      </c>
      <c r="F522" t="s">
        <v>15</v>
      </c>
      <c r="G522" t="s">
        <v>148</v>
      </c>
      <c r="H522">
        <v>86</v>
      </c>
      <c r="I522">
        <v>2012</v>
      </c>
      <c r="J522" t="s">
        <v>17</v>
      </c>
      <c r="K522">
        <v>92129</v>
      </c>
      <c r="L522" s="1">
        <v>41153</v>
      </c>
      <c r="M522" s="1" t="s">
        <v>3165</v>
      </c>
      <c r="N522" t="s">
        <v>1367</v>
      </c>
      <c r="O522" t="s">
        <v>3149</v>
      </c>
    </row>
    <row r="523" spans="1:15" x14ac:dyDescent="0.3">
      <c r="A523" t="s">
        <v>1368</v>
      </c>
      <c r="B523">
        <v>6</v>
      </c>
      <c r="C523" s="1">
        <v>45172</v>
      </c>
      <c r="D523" t="s">
        <v>1369</v>
      </c>
      <c r="E523" t="s">
        <v>1370</v>
      </c>
      <c r="F523" t="s">
        <v>15</v>
      </c>
      <c r="G523" t="s">
        <v>84</v>
      </c>
      <c r="H523">
        <v>141</v>
      </c>
      <c r="I523">
        <v>2013</v>
      </c>
      <c r="J523" t="s">
        <v>24</v>
      </c>
      <c r="K523">
        <v>96308</v>
      </c>
      <c r="L523" s="1">
        <v>41415</v>
      </c>
      <c r="M523" s="1" t="s">
        <v>3194</v>
      </c>
      <c r="N523" t="s">
        <v>633</v>
      </c>
      <c r="O523" t="s">
        <v>3149</v>
      </c>
    </row>
    <row r="524" spans="1:15" x14ac:dyDescent="0.3">
      <c r="A524" t="s">
        <v>1375</v>
      </c>
      <c r="B524">
        <v>9</v>
      </c>
      <c r="C524" s="1">
        <v>45263</v>
      </c>
      <c r="D524" t="s">
        <v>1376</v>
      </c>
      <c r="E524" t="s">
        <v>1377</v>
      </c>
      <c r="F524" t="s">
        <v>15</v>
      </c>
      <c r="G524" t="s">
        <v>143</v>
      </c>
      <c r="H524">
        <v>96</v>
      </c>
      <c r="I524">
        <v>2013</v>
      </c>
      <c r="J524" t="s">
        <v>24</v>
      </c>
      <c r="K524">
        <v>91084</v>
      </c>
      <c r="L524" s="1">
        <v>41343</v>
      </c>
      <c r="M524" s="1" t="s">
        <v>3165</v>
      </c>
      <c r="N524" t="s">
        <v>1378</v>
      </c>
      <c r="O524" t="s">
        <v>3149</v>
      </c>
    </row>
    <row r="525" spans="1:15" x14ac:dyDescent="0.3">
      <c r="A525" t="s">
        <v>1379</v>
      </c>
      <c r="B525">
        <v>4</v>
      </c>
      <c r="C525" s="1">
        <v>45259</v>
      </c>
      <c r="D525" t="s">
        <v>1380</v>
      </c>
      <c r="E525" t="s">
        <v>1381</v>
      </c>
      <c r="F525" t="s">
        <v>47</v>
      </c>
      <c r="G525" t="s">
        <v>751</v>
      </c>
      <c r="H525">
        <v>12</v>
      </c>
      <c r="I525">
        <v>2022</v>
      </c>
      <c r="J525" t="s">
        <v>456</v>
      </c>
      <c r="K525">
        <v>10</v>
      </c>
      <c r="L525" s="1">
        <v>44876</v>
      </c>
      <c r="M525" s="1" t="s">
        <v>3154</v>
      </c>
      <c r="N525" t="s">
        <v>1382</v>
      </c>
      <c r="O525" t="s">
        <v>3149</v>
      </c>
    </row>
    <row r="526" spans="1:15" x14ac:dyDescent="0.3">
      <c r="A526" t="s">
        <v>1383</v>
      </c>
      <c r="B526">
        <v>6</v>
      </c>
      <c r="C526" s="1">
        <v>45030</v>
      </c>
      <c r="D526" t="s">
        <v>1384</v>
      </c>
      <c r="E526" t="s">
        <v>1385</v>
      </c>
      <c r="F526" t="s">
        <v>15</v>
      </c>
      <c r="G526" t="s">
        <v>56</v>
      </c>
      <c r="H526">
        <v>117</v>
      </c>
      <c r="I526">
        <v>2015</v>
      </c>
      <c r="J526" t="s">
        <v>42</v>
      </c>
      <c r="K526">
        <v>148579</v>
      </c>
      <c r="L526" s="1">
        <v>42030</v>
      </c>
      <c r="M526" s="1" t="s">
        <v>3165</v>
      </c>
      <c r="N526" t="s">
        <v>1386</v>
      </c>
      <c r="O526" t="s">
        <v>3149</v>
      </c>
    </row>
    <row r="527" spans="1:15" x14ac:dyDescent="0.3">
      <c r="A527" t="s">
        <v>1387</v>
      </c>
      <c r="B527">
        <v>7</v>
      </c>
      <c r="C527" s="1">
        <v>44401</v>
      </c>
      <c r="D527" t="s">
        <v>1388</v>
      </c>
      <c r="E527" t="s">
        <v>1389</v>
      </c>
      <c r="F527" t="s">
        <v>15</v>
      </c>
      <c r="G527" t="s">
        <v>524</v>
      </c>
      <c r="H527">
        <v>124</v>
      </c>
      <c r="I527">
        <v>2013</v>
      </c>
      <c r="J527" t="s">
        <v>24</v>
      </c>
      <c r="K527">
        <v>97085</v>
      </c>
      <c r="L527" s="1">
        <v>41633</v>
      </c>
      <c r="M527" s="1" t="s">
        <v>3188</v>
      </c>
      <c r="N527" t="s">
        <v>914</v>
      </c>
      <c r="O527" t="s">
        <v>3149</v>
      </c>
    </row>
    <row r="528" spans="1:15" x14ac:dyDescent="0.3">
      <c r="A528" t="s">
        <v>1390</v>
      </c>
      <c r="B528">
        <v>7</v>
      </c>
      <c r="C528" s="1">
        <v>44597</v>
      </c>
      <c r="D528" t="s">
        <v>1391</v>
      </c>
      <c r="E528" t="s">
        <v>1392</v>
      </c>
      <c r="F528" t="s">
        <v>15</v>
      </c>
      <c r="G528" t="s">
        <v>79</v>
      </c>
      <c r="H528">
        <v>132</v>
      </c>
      <c r="I528">
        <v>2019</v>
      </c>
      <c r="J528" t="s">
        <v>240</v>
      </c>
      <c r="K528">
        <v>20625</v>
      </c>
      <c r="L528" s="1">
        <v>43707</v>
      </c>
      <c r="M528" s="1" t="s">
        <v>3155</v>
      </c>
      <c r="N528" t="s">
        <v>1393</v>
      </c>
      <c r="O528" t="s">
        <v>3149</v>
      </c>
    </row>
    <row r="529" spans="1:15" x14ac:dyDescent="0.3">
      <c r="A529" t="s">
        <v>1394</v>
      </c>
      <c r="B529">
        <v>6</v>
      </c>
      <c r="C529" s="1">
        <v>44554</v>
      </c>
      <c r="D529" t="s">
        <v>1395</v>
      </c>
      <c r="E529" t="s">
        <v>1396</v>
      </c>
      <c r="F529" t="s">
        <v>15</v>
      </c>
      <c r="G529" t="s">
        <v>79</v>
      </c>
      <c r="H529">
        <v>90</v>
      </c>
      <c r="I529">
        <v>2015</v>
      </c>
      <c r="J529" t="s">
        <v>1397</v>
      </c>
      <c r="K529">
        <v>74665</v>
      </c>
      <c r="L529" s="1">
        <v>42251</v>
      </c>
      <c r="M529" s="1" t="s">
        <v>3165</v>
      </c>
      <c r="N529" t="s">
        <v>1398</v>
      </c>
      <c r="O529" t="s">
        <v>3149</v>
      </c>
    </row>
    <row r="530" spans="1:15" x14ac:dyDescent="0.3">
      <c r="A530" t="s">
        <v>1399</v>
      </c>
      <c r="B530">
        <v>7</v>
      </c>
      <c r="C530" s="1">
        <v>45181</v>
      </c>
      <c r="D530" t="s">
        <v>1400</v>
      </c>
      <c r="E530" t="s">
        <v>1401</v>
      </c>
      <c r="F530" t="s">
        <v>15</v>
      </c>
      <c r="G530" t="s">
        <v>79</v>
      </c>
      <c r="H530">
        <v>118</v>
      </c>
      <c r="I530">
        <v>2015</v>
      </c>
      <c r="J530" t="s">
        <v>42</v>
      </c>
      <c r="K530">
        <v>140051</v>
      </c>
      <c r="L530" s="1">
        <v>42141</v>
      </c>
      <c r="M530" s="1" t="s">
        <v>3165</v>
      </c>
      <c r="N530" t="s">
        <v>557</v>
      </c>
      <c r="O530" t="s">
        <v>3149</v>
      </c>
    </row>
    <row r="531" spans="1:15" x14ac:dyDescent="0.3">
      <c r="A531" t="s">
        <v>1402</v>
      </c>
      <c r="B531">
        <v>7</v>
      </c>
      <c r="C531" s="1">
        <v>45156</v>
      </c>
      <c r="D531" t="s">
        <v>1403</v>
      </c>
      <c r="E531" t="s">
        <v>1404</v>
      </c>
      <c r="F531" t="s">
        <v>15</v>
      </c>
      <c r="G531" t="s">
        <v>158</v>
      </c>
      <c r="H531">
        <v>83</v>
      </c>
      <c r="I531">
        <v>2023</v>
      </c>
      <c r="J531" t="s">
        <v>24</v>
      </c>
      <c r="K531">
        <v>15229</v>
      </c>
      <c r="L531" s="1">
        <v>44975</v>
      </c>
      <c r="M531" s="1" t="s">
        <v>3165</v>
      </c>
      <c r="N531" t="s">
        <v>1405</v>
      </c>
      <c r="O531" t="s">
        <v>3175</v>
      </c>
    </row>
    <row r="532" spans="1:15" x14ac:dyDescent="0.3">
      <c r="A532" t="s">
        <v>1406</v>
      </c>
      <c r="B532">
        <v>9</v>
      </c>
      <c r="C532" s="1">
        <v>45171</v>
      </c>
      <c r="D532" s="3" t="s">
        <v>1407</v>
      </c>
      <c r="E532" t="s">
        <v>1408</v>
      </c>
      <c r="F532" t="s">
        <v>15</v>
      </c>
      <c r="G532" t="s">
        <v>1409</v>
      </c>
      <c r="H532">
        <v>95</v>
      </c>
      <c r="I532">
        <v>2023</v>
      </c>
      <c r="J532" t="s">
        <v>1410</v>
      </c>
      <c r="K532">
        <v>2102</v>
      </c>
      <c r="L532" s="1">
        <v>44946</v>
      </c>
      <c r="M532" s="1" t="s">
        <v>3154</v>
      </c>
      <c r="N532" t="s">
        <v>1411</v>
      </c>
      <c r="O532" t="s">
        <v>3149</v>
      </c>
    </row>
    <row r="533" spans="1:15" x14ac:dyDescent="0.3">
      <c r="A533" t="s">
        <v>1425</v>
      </c>
      <c r="B533">
        <v>7</v>
      </c>
      <c r="C533" s="1">
        <v>45157</v>
      </c>
      <c r="D533" t="s">
        <v>1426</v>
      </c>
      <c r="E533" t="s">
        <v>1427</v>
      </c>
      <c r="F533" t="s">
        <v>15</v>
      </c>
      <c r="G533" t="s">
        <v>1170</v>
      </c>
      <c r="H533">
        <v>100</v>
      </c>
      <c r="I533">
        <v>2013</v>
      </c>
      <c r="J533" t="s">
        <v>24</v>
      </c>
      <c r="K533">
        <v>30820</v>
      </c>
      <c r="L533" s="1">
        <v>41515</v>
      </c>
      <c r="M533" s="1" t="s">
        <v>3165</v>
      </c>
      <c r="N533" t="s">
        <v>1428</v>
      </c>
      <c r="O533" t="s">
        <v>3175</v>
      </c>
    </row>
    <row r="534" spans="1:15" x14ac:dyDescent="0.3">
      <c r="A534" t="s">
        <v>1429</v>
      </c>
      <c r="B534">
        <v>7</v>
      </c>
      <c r="C534" s="1">
        <v>43821</v>
      </c>
      <c r="D534" t="s">
        <v>1430</v>
      </c>
      <c r="E534" t="s">
        <v>1431</v>
      </c>
      <c r="F534" t="s">
        <v>15</v>
      </c>
      <c r="G534" t="s">
        <v>158</v>
      </c>
      <c r="H534">
        <v>110</v>
      </c>
      <c r="I534">
        <v>2019</v>
      </c>
      <c r="J534" t="s">
        <v>1432</v>
      </c>
      <c r="K534">
        <v>100684</v>
      </c>
      <c r="L534" s="1">
        <v>43491</v>
      </c>
      <c r="M534" s="1" t="s">
        <v>3165</v>
      </c>
      <c r="N534" t="s">
        <v>1433</v>
      </c>
      <c r="O534" t="s">
        <v>3149</v>
      </c>
    </row>
    <row r="535" spans="1:15" x14ac:dyDescent="0.3">
      <c r="A535" t="s">
        <v>1438</v>
      </c>
      <c r="B535">
        <v>7</v>
      </c>
      <c r="C535" s="1">
        <v>44588</v>
      </c>
      <c r="D535" t="s">
        <v>1439</v>
      </c>
      <c r="E535" t="s">
        <v>1440</v>
      </c>
      <c r="F535" t="s">
        <v>15</v>
      </c>
      <c r="G535" t="s">
        <v>346</v>
      </c>
      <c r="H535">
        <v>77</v>
      </c>
      <c r="I535">
        <v>2013</v>
      </c>
      <c r="J535" t="s">
        <v>24</v>
      </c>
      <c r="K535">
        <v>1945</v>
      </c>
      <c r="L535" s="1">
        <v>41522</v>
      </c>
      <c r="M535" s="1" t="s">
        <v>3155</v>
      </c>
      <c r="N535" t="s">
        <v>1441</v>
      </c>
      <c r="O535" t="s">
        <v>3149</v>
      </c>
    </row>
    <row r="536" spans="1:15" x14ac:dyDescent="0.3">
      <c r="A536" t="s">
        <v>1446</v>
      </c>
      <c r="B536">
        <v>7</v>
      </c>
      <c r="C536" s="1">
        <v>44062</v>
      </c>
      <c r="D536" t="s">
        <v>1447</v>
      </c>
      <c r="E536" t="s">
        <v>1448</v>
      </c>
      <c r="F536" t="s">
        <v>15</v>
      </c>
      <c r="G536" t="s">
        <v>143</v>
      </c>
      <c r="H536">
        <v>113</v>
      </c>
      <c r="I536">
        <v>2017</v>
      </c>
      <c r="J536" t="s">
        <v>1449</v>
      </c>
      <c r="K536">
        <v>175361</v>
      </c>
      <c r="L536" s="1">
        <v>43053</v>
      </c>
      <c r="M536" s="1" t="s">
        <v>3165</v>
      </c>
      <c r="N536" t="s">
        <v>1450</v>
      </c>
      <c r="O536" t="s">
        <v>3149</v>
      </c>
    </row>
    <row r="537" spans="1:15" x14ac:dyDescent="0.3">
      <c r="A537" t="s">
        <v>1455</v>
      </c>
      <c r="B537">
        <v>7</v>
      </c>
      <c r="C537" s="1">
        <v>44792</v>
      </c>
      <c r="D537" t="s">
        <v>1456</v>
      </c>
      <c r="E537" t="s">
        <v>1457</v>
      </c>
      <c r="F537" t="s">
        <v>15</v>
      </c>
      <c r="G537" t="s">
        <v>84</v>
      </c>
      <c r="H537">
        <v>119</v>
      </c>
      <c r="I537">
        <v>2014</v>
      </c>
      <c r="J537" t="s">
        <v>261</v>
      </c>
      <c r="K537">
        <v>658416</v>
      </c>
      <c r="L537" s="1">
        <v>41878</v>
      </c>
      <c r="M537" s="1" t="s">
        <v>3165</v>
      </c>
      <c r="N537" t="s">
        <v>1458</v>
      </c>
      <c r="O537" t="s">
        <v>3149</v>
      </c>
    </row>
    <row r="538" spans="1:15" x14ac:dyDescent="0.3">
      <c r="A538" t="s">
        <v>1459</v>
      </c>
      <c r="B538">
        <v>7</v>
      </c>
      <c r="C538" s="1">
        <v>45128</v>
      </c>
      <c r="D538" t="s">
        <v>1460</v>
      </c>
      <c r="E538" t="s">
        <v>1461</v>
      </c>
      <c r="F538" t="s">
        <v>15</v>
      </c>
      <c r="G538" t="s">
        <v>84</v>
      </c>
      <c r="H538">
        <v>105</v>
      </c>
      <c r="I538">
        <v>2015</v>
      </c>
      <c r="J538" t="s">
        <v>17</v>
      </c>
      <c r="K538">
        <v>136998</v>
      </c>
      <c r="L538" s="1">
        <v>42029</v>
      </c>
      <c r="M538" s="1" t="s">
        <v>3165</v>
      </c>
      <c r="N538" t="s">
        <v>1462</v>
      </c>
      <c r="O538" t="s">
        <v>3149</v>
      </c>
    </row>
    <row r="539" spans="1:15" x14ac:dyDescent="0.3">
      <c r="A539" t="s">
        <v>1463</v>
      </c>
      <c r="B539">
        <v>7</v>
      </c>
      <c r="C539" s="1">
        <v>44148</v>
      </c>
      <c r="D539" t="s">
        <v>1464</v>
      </c>
      <c r="E539" t="s">
        <v>1465</v>
      </c>
      <c r="F539" t="s">
        <v>15</v>
      </c>
      <c r="G539" t="s">
        <v>41</v>
      </c>
      <c r="H539">
        <v>102</v>
      </c>
      <c r="I539">
        <v>2016</v>
      </c>
      <c r="J539" t="s">
        <v>1466</v>
      </c>
      <c r="K539">
        <v>247488</v>
      </c>
      <c r="L539" s="1">
        <v>42506</v>
      </c>
      <c r="M539" s="1" t="s">
        <v>3165</v>
      </c>
      <c r="N539" t="s">
        <v>1467</v>
      </c>
      <c r="O539" t="s">
        <v>3149</v>
      </c>
    </row>
    <row r="540" spans="1:15" x14ac:dyDescent="0.3">
      <c r="A540" t="s">
        <v>1468</v>
      </c>
      <c r="B540">
        <v>8</v>
      </c>
      <c r="C540" s="1">
        <v>44324</v>
      </c>
      <c r="D540" t="s">
        <v>1469</v>
      </c>
      <c r="E540" t="s">
        <v>1470</v>
      </c>
      <c r="F540" t="s">
        <v>15</v>
      </c>
      <c r="G540" t="s">
        <v>23</v>
      </c>
      <c r="H540">
        <v>106</v>
      </c>
      <c r="I540">
        <v>2014</v>
      </c>
      <c r="J540" t="s">
        <v>556</v>
      </c>
      <c r="K540">
        <v>956612</v>
      </c>
      <c r="L540" s="1">
        <v>41655</v>
      </c>
      <c r="M540" s="1" t="s">
        <v>3165</v>
      </c>
      <c r="N540" t="s">
        <v>221</v>
      </c>
      <c r="O540" t="s">
        <v>3149</v>
      </c>
    </row>
    <row r="541" spans="1:15" x14ac:dyDescent="0.3">
      <c r="A541" t="s">
        <v>1471</v>
      </c>
      <c r="B541">
        <v>7</v>
      </c>
      <c r="C541" s="1">
        <v>43862</v>
      </c>
      <c r="D541" t="s">
        <v>1472</v>
      </c>
      <c r="E541" t="s">
        <v>1473</v>
      </c>
      <c r="F541" t="s">
        <v>15</v>
      </c>
      <c r="G541" t="s">
        <v>143</v>
      </c>
      <c r="H541">
        <v>108</v>
      </c>
      <c r="I541">
        <v>2019</v>
      </c>
      <c r="J541" t="s">
        <v>1133</v>
      </c>
      <c r="K541">
        <v>430062</v>
      </c>
      <c r="L541" s="1">
        <v>43716</v>
      </c>
      <c r="M541" s="1" t="s">
        <v>3165</v>
      </c>
      <c r="N541" t="s">
        <v>1474</v>
      </c>
      <c r="O541" t="s">
        <v>3149</v>
      </c>
    </row>
    <row r="542" spans="1:15" x14ac:dyDescent="0.3">
      <c r="A542" t="s">
        <v>1480</v>
      </c>
      <c r="B542">
        <v>7</v>
      </c>
      <c r="C542" s="1">
        <v>45007</v>
      </c>
      <c r="D542" t="s">
        <v>1481</v>
      </c>
      <c r="E542" t="s">
        <v>1482</v>
      </c>
      <c r="F542" t="s">
        <v>47</v>
      </c>
      <c r="G542" t="s">
        <v>346</v>
      </c>
      <c r="H542">
        <v>6</v>
      </c>
      <c r="I542">
        <v>2023</v>
      </c>
      <c r="J542" t="s">
        <v>199</v>
      </c>
      <c r="K542">
        <v>69</v>
      </c>
      <c r="L542" s="1">
        <v>44976</v>
      </c>
      <c r="M542" s="1" t="s">
        <v>3154</v>
      </c>
      <c r="N542" t="s">
        <v>1483</v>
      </c>
      <c r="O542" t="s">
        <v>3175</v>
      </c>
    </row>
    <row r="543" spans="1:15" x14ac:dyDescent="0.3">
      <c r="A543" t="s">
        <v>1484</v>
      </c>
      <c r="B543">
        <v>3</v>
      </c>
      <c r="C543" s="1">
        <v>45175</v>
      </c>
      <c r="D543" t="s">
        <v>1485</v>
      </c>
      <c r="E543" t="s">
        <v>1486</v>
      </c>
      <c r="F543" t="s">
        <v>47</v>
      </c>
      <c r="G543" t="s">
        <v>1487</v>
      </c>
      <c r="H543">
        <v>17</v>
      </c>
      <c r="I543">
        <v>2022</v>
      </c>
      <c r="J543" t="s">
        <v>199</v>
      </c>
      <c r="K543">
        <v>5</v>
      </c>
      <c r="L543" s="1">
        <v>44712</v>
      </c>
      <c r="M543" s="1" t="s">
        <v>3154</v>
      </c>
      <c r="N543" t="s">
        <v>1488</v>
      </c>
      <c r="O543" t="s">
        <v>3149</v>
      </c>
    </row>
    <row r="544" spans="1:15" x14ac:dyDescent="0.3">
      <c r="A544" t="s">
        <v>1489</v>
      </c>
      <c r="B544">
        <v>8</v>
      </c>
      <c r="C544" s="1">
        <v>43822</v>
      </c>
      <c r="D544" t="s">
        <v>1490</v>
      </c>
      <c r="E544" t="s">
        <v>1491</v>
      </c>
      <c r="F544" t="s">
        <v>15</v>
      </c>
      <c r="G544" t="s">
        <v>158</v>
      </c>
      <c r="H544">
        <v>101</v>
      </c>
      <c r="I544">
        <v>2013</v>
      </c>
      <c r="J544" t="s">
        <v>1492</v>
      </c>
      <c r="K544">
        <v>7828</v>
      </c>
      <c r="L544" s="1">
        <v>41442</v>
      </c>
      <c r="M544" s="1" t="s">
        <v>3210</v>
      </c>
      <c r="N544" t="s">
        <v>1493</v>
      </c>
      <c r="O544" t="s">
        <v>3149</v>
      </c>
    </row>
    <row r="545" spans="1:15" x14ac:dyDescent="0.3">
      <c r="A545" t="s">
        <v>1497</v>
      </c>
      <c r="B545">
        <v>7</v>
      </c>
      <c r="C545" s="1">
        <v>45217</v>
      </c>
      <c r="D545" t="s">
        <v>1498</v>
      </c>
      <c r="E545" t="s">
        <v>1499</v>
      </c>
      <c r="F545" t="s">
        <v>551</v>
      </c>
      <c r="G545" t="s">
        <v>41</v>
      </c>
      <c r="H545">
        <v>70</v>
      </c>
      <c r="I545">
        <v>2023</v>
      </c>
      <c r="J545" t="s">
        <v>235</v>
      </c>
      <c r="K545">
        <v>684</v>
      </c>
      <c r="L545" s="1">
        <v>44954</v>
      </c>
      <c r="M545" s="1" t="s">
        <v>3165</v>
      </c>
      <c r="N545" t="s">
        <v>25</v>
      </c>
      <c r="O545" t="s">
        <v>3149</v>
      </c>
    </row>
    <row r="546" spans="1:15" x14ac:dyDescent="0.3">
      <c r="A546" t="s">
        <v>1500</v>
      </c>
      <c r="B546">
        <v>7</v>
      </c>
      <c r="C546" s="1">
        <v>45272</v>
      </c>
      <c r="D546" t="s">
        <v>1501</v>
      </c>
      <c r="E546" t="s">
        <v>1502</v>
      </c>
      <c r="F546" t="s">
        <v>15</v>
      </c>
      <c r="G546" t="s">
        <v>56</v>
      </c>
      <c r="H546">
        <v>98</v>
      </c>
      <c r="I546">
        <v>2023</v>
      </c>
      <c r="J546" t="s">
        <v>24</v>
      </c>
      <c r="K546">
        <v>3213</v>
      </c>
      <c r="L546" s="1">
        <v>44975</v>
      </c>
      <c r="M546" s="1" t="s">
        <v>3180</v>
      </c>
      <c r="N546" t="s">
        <v>1503</v>
      </c>
      <c r="O546" t="s">
        <v>3149</v>
      </c>
    </row>
    <row r="547" spans="1:15" x14ac:dyDescent="0.3">
      <c r="A547" t="s">
        <v>1507</v>
      </c>
      <c r="B547">
        <v>7</v>
      </c>
      <c r="C547" s="1">
        <v>43581</v>
      </c>
      <c r="D547" t="s">
        <v>1508</v>
      </c>
      <c r="E547" t="s">
        <v>1509</v>
      </c>
      <c r="F547" t="s">
        <v>15</v>
      </c>
      <c r="G547" t="s">
        <v>35</v>
      </c>
      <c r="H547">
        <v>100</v>
      </c>
      <c r="I547">
        <v>2018</v>
      </c>
      <c r="J547" t="s">
        <v>1510</v>
      </c>
      <c r="K547">
        <v>251778</v>
      </c>
      <c r="L547" s="1">
        <v>43146</v>
      </c>
      <c r="M547" s="1" t="s">
        <v>3165</v>
      </c>
      <c r="N547" t="s">
        <v>1511</v>
      </c>
      <c r="O547" t="s">
        <v>3149</v>
      </c>
    </row>
    <row r="548" spans="1:15" x14ac:dyDescent="0.3">
      <c r="A548" t="s">
        <v>1512</v>
      </c>
      <c r="B548">
        <v>7</v>
      </c>
      <c r="C548" s="1">
        <v>44554</v>
      </c>
      <c r="D548" t="s">
        <v>1513</v>
      </c>
      <c r="E548" t="s">
        <v>1514</v>
      </c>
      <c r="F548" t="s">
        <v>15</v>
      </c>
      <c r="G548" t="s">
        <v>148</v>
      </c>
      <c r="H548">
        <v>82</v>
      </c>
      <c r="I548">
        <v>2013</v>
      </c>
      <c r="J548" t="s">
        <v>24</v>
      </c>
      <c r="K548">
        <v>60141</v>
      </c>
      <c r="L548" s="1">
        <v>41516</v>
      </c>
      <c r="M548" s="1" t="s">
        <v>3166</v>
      </c>
      <c r="N548" t="s">
        <v>1515</v>
      </c>
      <c r="O548" t="s">
        <v>3149</v>
      </c>
    </row>
    <row r="549" spans="1:15" x14ac:dyDescent="0.3">
      <c r="A549" t="s">
        <v>1516</v>
      </c>
      <c r="B549">
        <v>8</v>
      </c>
      <c r="C549" s="1">
        <v>45007</v>
      </c>
      <c r="D549" t="s">
        <v>1517</v>
      </c>
      <c r="E549" t="s">
        <v>1518</v>
      </c>
      <c r="F549" t="s">
        <v>47</v>
      </c>
      <c r="G549" t="s">
        <v>79</v>
      </c>
      <c r="H549">
        <v>10</v>
      </c>
      <c r="I549">
        <v>2023</v>
      </c>
      <c r="J549" t="s">
        <v>48</v>
      </c>
      <c r="K549">
        <v>13</v>
      </c>
      <c r="L549" s="1">
        <v>44994</v>
      </c>
      <c r="M549" s="1" t="s">
        <v>3154</v>
      </c>
      <c r="N549" t="s">
        <v>1519</v>
      </c>
      <c r="O549" t="s">
        <v>3149</v>
      </c>
    </row>
    <row r="550" spans="1:15" x14ac:dyDescent="0.3">
      <c r="A550" t="s">
        <v>1528</v>
      </c>
      <c r="B550">
        <v>7</v>
      </c>
      <c r="C550" s="1">
        <v>44559</v>
      </c>
      <c r="D550" t="s">
        <v>1529</v>
      </c>
      <c r="E550" t="s">
        <v>1530</v>
      </c>
      <c r="F550" t="s">
        <v>15</v>
      </c>
      <c r="G550" t="s">
        <v>158</v>
      </c>
      <c r="H550">
        <v>95</v>
      </c>
      <c r="I550">
        <v>2013</v>
      </c>
      <c r="J550" t="s">
        <v>42</v>
      </c>
      <c r="K550">
        <v>37761</v>
      </c>
      <c r="L550" s="1">
        <v>41410</v>
      </c>
      <c r="M550" s="1" t="s">
        <v>3155</v>
      </c>
      <c r="N550" t="s">
        <v>183</v>
      </c>
      <c r="O550" t="s">
        <v>3149</v>
      </c>
    </row>
    <row r="551" spans="1:15" x14ac:dyDescent="0.3">
      <c r="A551" t="s">
        <v>1531</v>
      </c>
      <c r="B551">
        <v>5</v>
      </c>
      <c r="C551" s="1">
        <v>45259</v>
      </c>
      <c r="D551" t="s">
        <v>1532</v>
      </c>
      <c r="E551" t="s">
        <v>1533</v>
      </c>
      <c r="F551" t="s">
        <v>47</v>
      </c>
      <c r="G551" t="s">
        <v>346</v>
      </c>
      <c r="H551">
        <v>15</v>
      </c>
      <c r="I551">
        <v>2023</v>
      </c>
      <c r="J551" t="s">
        <v>456</v>
      </c>
      <c r="K551">
        <v>18</v>
      </c>
      <c r="L551" s="1">
        <v>45072</v>
      </c>
      <c r="M551" s="1" t="s">
        <v>3154</v>
      </c>
      <c r="N551" t="s">
        <v>1534</v>
      </c>
    </row>
    <row r="552" spans="1:15" x14ac:dyDescent="0.3">
      <c r="A552" t="s">
        <v>1535</v>
      </c>
      <c r="B552">
        <v>7</v>
      </c>
      <c r="C552" s="1">
        <v>45083</v>
      </c>
      <c r="D552" t="s">
        <v>1536</v>
      </c>
      <c r="E552" t="s">
        <v>1537</v>
      </c>
      <c r="F552" t="s">
        <v>47</v>
      </c>
      <c r="G552" t="s">
        <v>369</v>
      </c>
      <c r="H552">
        <v>22</v>
      </c>
      <c r="I552">
        <v>2023</v>
      </c>
      <c r="J552" t="s">
        <v>48</v>
      </c>
      <c r="K552">
        <v>23</v>
      </c>
      <c r="L552" s="1">
        <v>45046</v>
      </c>
      <c r="M552" s="1" t="s">
        <v>3154</v>
      </c>
      <c r="N552" t="s">
        <v>52</v>
      </c>
      <c r="O552" t="s">
        <v>3149</v>
      </c>
    </row>
    <row r="553" spans="1:15" x14ac:dyDescent="0.3">
      <c r="A553" t="s">
        <v>1538</v>
      </c>
      <c r="B553">
        <v>6</v>
      </c>
      <c r="C553" s="1">
        <v>45157</v>
      </c>
      <c r="D553" t="s">
        <v>1539</v>
      </c>
      <c r="E553" t="s">
        <v>1540</v>
      </c>
      <c r="F553" t="s">
        <v>551</v>
      </c>
      <c r="G553" t="s">
        <v>158</v>
      </c>
      <c r="H553">
        <v>45</v>
      </c>
      <c r="I553">
        <v>2023</v>
      </c>
      <c r="J553" t="s">
        <v>394</v>
      </c>
      <c r="K553">
        <v>58</v>
      </c>
      <c r="L553" s="1">
        <v>45045</v>
      </c>
      <c r="M553" s="1" t="s">
        <v>3171</v>
      </c>
      <c r="N553" t="s">
        <v>1541</v>
      </c>
      <c r="O553" t="s">
        <v>3149</v>
      </c>
    </row>
    <row r="554" spans="1:15" x14ac:dyDescent="0.3">
      <c r="A554" t="s">
        <v>1545</v>
      </c>
      <c r="B554">
        <v>7</v>
      </c>
      <c r="C554" s="1">
        <v>45244</v>
      </c>
      <c r="D554" t="s">
        <v>1546</v>
      </c>
      <c r="E554" t="s">
        <v>1547</v>
      </c>
      <c r="F554" t="s">
        <v>15</v>
      </c>
      <c r="G554" t="s">
        <v>148</v>
      </c>
      <c r="H554">
        <v>87</v>
      </c>
      <c r="I554">
        <v>2023</v>
      </c>
      <c r="J554" t="s">
        <v>96</v>
      </c>
      <c r="K554">
        <v>2199</v>
      </c>
      <c r="L554" s="1">
        <v>45116</v>
      </c>
      <c r="M554" s="1" t="s">
        <v>3165</v>
      </c>
      <c r="N554" t="s">
        <v>1548</v>
      </c>
      <c r="O554" t="s">
        <v>3149</v>
      </c>
    </row>
    <row r="555" spans="1:15" x14ac:dyDescent="0.3">
      <c r="A555" t="s">
        <v>1553</v>
      </c>
      <c r="B555">
        <v>7</v>
      </c>
      <c r="C555" s="1">
        <v>45147</v>
      </c>
      <c r="D555" t="s">
        <v>1554</v>
      </c>
      <c r="E555" t="s">
        <v>1555</v>
      </c>
      <c r="F555" t="s">
        <v>15</v>
      </c>
      <c r="G555" t="s">
        <v>61</v>
      </c>
      <c r="H555">
        <v>128</v>
      </c>
      <c r="I555">
        <v>2015</v>
      </c>
      <c r="J555" t="s">
        <v>1556</v>
      </c>
      <c r="K555">
        <v>54296</v>
      </c>
      <c r="L555" s="1">
        <v>42140</v>
      </c>
      <c r="M555" s="1" t="s">
        <v>3171</v>
      </c>
      <c r="N555" t="s">
        <v>1557</v>
      </c>
      <c r="O555" t="s">
        <v>3149</v>
      </c>
    </row>
    <row r="556" spans="1:15" x14ac:dyDescent="0.3">
      <c r="A556" t="s">
        <v>1558</v>
      </c>
      <c r="B556">
        <v>6</v>
      </c>
      <c r="C556" s="1">
        <v>43922</v>
      </c>
      <c r="D556" t="s">
        <v>1559</v>
      </c>
      <c r="E556" t="s">
        <v>1560</v>
      </c>
      <c r="F556" t="s">
        <v>15</v>
      </c>
      <c r="G556" t="s">
        <v>79</v>
      </c>
      <c r="H556">
        <v>89</v>
      </c>
      <c r="I556">
        <v>2013</v>
      </c>
      <c r="J556" t="s">
        <v>389</v>
      </c>
      <c r="K556">
        <v>815</v>
      </c>
      <c r="L556" s="1">
        <v>41412</v>
      </c>
      <c r="M556" s="1" t="s">
        <v>3154</v>
      </c>
      <c r="N556" t="s">
        <v>1561</v>
      </c>
      <c r="O556" t="s">
        <v>3149</v>
      </c>
    </row>
    <row r="557" spans="1:15" x14ac:dyDescent="0.3">
      <c r="A557" t="s">
        <v>1562</v>
      </c>
      <c r="B557">
        <v>6</v>
      </c>
      <c r="C557" s="1">
        <v>45006</v>
      </c>
      <c r="D557" t="s">
        <v>1563</v>
      </c>
      <c r="E557" t="s">
        <v>1564</v>
      </c>
      <c r="F557" t="s">
        <v>15</v>
      </c>
      <c r="G557" t="s">
        <v>158</v>
      </c>
      <c r="H557">
        <v>84</v>
      </c>
      <c r="I557">
        <v>2015</v>
      </c>
      <c r="J557" t="s">
        <v>261</v>
      </c>
      <c r="K557">
        <v>28421</v>
      </c>
      <c r="L557" s="1">
        <v>42028</v>
      </c>
      <c r="M557" s="1" t="s">
        <v>3165</v>
      </c>
      <c r="N557" t="s">
        <v>1367</v>
      </c>
      <c r="O557" t="s">
        <v>3149</v>
      </c>
    </row>
    <row r="558" spans="1:15" x14ac:dyDescent="0.3">
      <c r="A558" t="s">
        <v>1565</v>
      </c>
      <c r="B558">
        <v>8</v>
      </c>
      <c r="C558" s="1">
        <v>44289</v>
      </c>
      <c r="D558" t="s">
        <v>1566</v>
      </c>
      <c r="E558" t="s">
        <v>1567</v>
      </c>
      <c r="F558" t="s">
        <v>15</v>
      </c>
      <c r="G558" t="s">
        <v>61</v>
      </c>
      <c r="H558">
        <v>117</v>
      </c>
      <c r="I558">
        <v>2014</v>
      </c>
      <c r="J558" t="s">
        <v>123</v>
      </c>
      <c r="K558">
        <v>592401</v>
      </c>
      <c r="L558" s="1">
        <v>41887</v>
      </c>
      <c r="M558" s="1" t="s">
        <v>3165</v>
      </c>
      <c r="N558" t="s">
        <v>1568</v>
      </c>
      <c r="O558" t="s">
        <v>3149</v>
      </c>
    </row>
    <row r="559" spans="1:15" x14ac:dyDescent="0.3">
      <c r="A559" t="s">
        <v>1569</v>
      </c>
      <c r="B559">
        <v>7</v>
      </c>
      <c r="C559" s="1">
        <v>45210</v>
      </c>
      <c r="D559" t="s">
        <v>1570</v>
      </c>
      <c r="E559" t="s">
        <v>1571</v>
      </c>
      <c r="F559" t="s">
        <v>47</v>
      </c>
      <c r="G559" t="s">
        <v>67</v>
      </c>
      <c r="H559">
        <v>17</v>
      </c>
      <c r="I559">
        <v>2023</v>
      </c>
      <c r="J559" t="s">
        <v>597</v>
      </c>
      <c r="K559">
        <v>15449</v>
      </c>
      <c r="L559" s="1">
        <v>45197</v>
      </c>
      <c r="M559" s="1" t="s">
        <v>3165</v>
      </c>
      <c r="N559" t="s">
        <v>298</v>
      </c>
      <c r="O559" t="s">
        <v>3149</v>
      </c>
    </row>
    <row r="560" spans="1:15" x14ac:dyDescent="0.3">
      <c r="A560" t="s">
        <v>1572</v>
      </c>
      <c r="B560">
        <v>6</v>
      </c>
      <c r="C560" s="1">
        <v>45210</v>
      </c>
      <c r="D560" t="s">
        <v>1573</v>
      </c>
      <c r="E560" t="s">
        <v>1574</v>
      </c>
      <c r="F560" t="s">
        <v>47</v>
      </c>
      <c r="G560" t="s">
        <v>73</v>
      </c>
      <c r="H560">
        <v>17</v>
      </c>
      <c r="I560">
        <v>2023</v>
      </c>
      <c r="J560" t="s">
        <v>597</v>
      </c>
      <c r="K560">
        <v>15215</v>
      </c>
      <c r="L560" s="1">
        <v>45198</v>
      </c>
      <c r="M560" s="1" t="s">
        <v>3165</v>
      </c>
      <c r="N560" t="s">
        <v>298</v>
      </c>
      <c r="O560" t="s">
        <v>3149</v>
      </c>
    </row>
    <row r="561" spans="1:15" x14ac:dyDescent="0.3">
      <c r="A561" t="s">
        <v>1575</v>
      </c>
      <c r="B561">
        <v>7</v>
      </c>
      <c r="C561" s="1">
        <v>45235</v>
      </c>
      <c r="D561" t="s">
        <v>1576</v>
      </c>
      <c r="E561" t="s">
        <v>1577</v>
      </c>
      <c r="F561" t="s">
        <v>47</v>
      </c>
      <c r="G561" t="s">
        <v>67</v>
      </c>
      <c r="H561">
        <v>17</v>
      </c>
      <c r="I561">
        <v>2023</v>
      </c>
      <c r="J561" t="s">
        <v>1578</v>
      </c>
      <c r="K561">
        <v>16555</v>
      </c>
      <c r="L561" s="1">
        <v>45199</v>
      </c>
      <c r="M561" s="1" t="s">
        <v>3165</v>
      </c>
      <c r="N561" t="s">
        <v>298</v>
      </c>
      <c r="O561" t="s">
        <v>3149</v>
      </c>
    </row>
    <row r="562" spans="1:15" x14ac:dyDescent="0.3">
      <c r="A562" t="s">
        <v>1582</v>
      </c>
      <c r="B562">
        <v>6</v>
      </c>
      <c r="C562" s="1">
        <v>43690</v>
      </c>
      <c r="D562" s="3" t="s">
        <v>1583</v>
      </c>
      <c r="E562" t="s">
        <v>1584</v>
      </c>
      <c r="F562" t="s">
        <v>15</v>
      </c>
      <c r="G562" t="s">
        <v>1585</v>
      </c>
      <c r="H562">
        <v>89</v>
      </c>
      <c r="I562">
        <v>2017</v>
      </c>
      <c r="J562" t="s">
        <v>738</v>
      </c>
      <c r="K562">
        <v>60180</v>
      </c>
      <c r="L562" s="1">
        <v>42880</v>
      </c>
      <c r="M562" s="1" t="s">
        <v>3171</v>
      </c>
      <c r="N562" t="s">
        <v>1586</v>
      </c>
      <c r="O562" t="s">
        <v>3149</v>
      </c>
    </row>
    <row r="563" spans="1:15" x14ac:dyDescent="0.3">
      <c r="A563" t="s">
        <v>1587</v>
      </c>
      <c r="B563">
        <v>8</v>
      </c>
      <c r="C563" s="1">
        <v>45281</v>
      </c>
      <c r="D563" s="3">
        <v>1670</v>
      </c>
      <c r="E563" t="s">
        <v>1588</v>
      </c>
      <c r="F563" t="s">
        <v>216</v>
      </c>
      <c r="G563" t="s">
        <v>29</v>
      </c>
      <c r="H563">
        <v>240</v>
      </c>
      <c r="I563">
        <v>2023</v>
      </c>
      <c r="J563" t="s">
        <v>1589</v>
      </c>
      <c r="K563">
        <v>2756</v>
      </c>
      <c r="L563" s="1">
        <v>45273</v>
      </c>
      <c r="M563" s="1" t="s">
        <v>3166</v>
      </c>
      <c r="N563" t="s">
        <v>3225</v>
      </c>
      <c r="O563" t="s">
        <v>3149</v>
      </c>
    </row>
    <row r="564" spans="1:15" x14ac:dyDescent="0.3">
      <c r="A564" t="s">
        <v>1590</v>
      </c>
      <c r="B564">
        <v>8</v>
      </c>
      <c r="C564" s="1">
        <v>44236</v>
      </c>
      <c r="D564" t="s">
        <v>1591</v>
      </c>
      <c r="E564" t="s">
        <v>1592</v>
      </c>
      <c r="F564" t="s">
        <v>15</v>
      </c>
      <c r="G564" t="s">
        <v>29</v>
      </c>
      <c r="H564">
        <v>100</v>
      </c>
      <c r="I564">
        <v>2020</v>
      </c>
      <c r="J564" t="s">
        <v>1593</v>
      </c>
      <c r="K564">
        <v>366724</v>
      </c>
      <c r="L564" s="1">
        <v>44115</v>
      </c>
      <c r="M564" s="1" t="s">
        <v>3165</v>
      </c>
      <c r="N564" t="s">
        <v>1594</v>
      </c>
      <c r="O564" t="s">
        <v>3149</v>
      </c>
    </row>
    <row r="565" spans="1:15" x14ac:dyDescent="0.3">
      <c r="A565" t="s">
        <v>1595</v>
      </c>
      <c r="B565">
        <v>8</v>
      </c>
      <c r="C565" s="1">
        <v>45150</v>
      </c>
      <c r="D565" t="s">
        <v>1596</v>
      </c>
      <c r="E565" t="s">
        <v>1597</v>
      </c>
      <c r="F565" t="s">
        <v>15</v>
      </c>
      <c r="G565" t="s">
        <v>524</v>
      </c>
      <c r="H565">
        <v>105</v>
      </c>
      <c r="I565">
        <v>2016</v>
      </c>
      <c r="J565" t="s">
        <v>1432</v>
      </c>
      <c r="K565">
        <v>2688</v>
      </c>
      <c r="L565" s="1">
        <v>42411</v>
      </c>
      <c r="M565" s="1" t="s">
        <v>3201</v>
      </c>
      <c r="N565" t="s">
        <v>1598</v>
      </c>
      <c r="O565" t="s">
        <v>3149</v>
      </c>
    </row>
    <row r="566" spans="1:15" x14ac:dyDescent="0.3">
      <c r="A566" t="s">
        <v>1599</v>
      </c>
      <c r="B566">
        <v>7</v>
      </c>
      <c r="C566" s="1">
        <v>45225</v>
      </c>
      <c r="D566" t="s">
        <v>1600</v>
      </c>
      <c r="E566" t="s">
        <v>1601</v>
      </c>
      <c r="F566" t="s">
        <v>47</v>
      </c>
      <c r="G566" t="s">
        <v>25</v>
      </c>
      <c r="H566">
        <v>25</v>
      </c>
      <c r="I566">
        <v>2022</v>
      </c>
      <c r="J566" t="s">
        <v>199</v>
      </c>
      <c r="M566" s="1" t="s">
        <v>3205</v>
      </c>
      <c r="N566" t="s">
        <v>1602</v>
      </c>
      <c r="O566" t="s">
        <v>3149</v>
      </c>
    </row>
    <row r="567" spans="1:15" x14ac:dyDescent="0.3">
      <c r="A567" t="s">
        <v>1603</v>
      </c>
      <c r="B567">
        <v>6</v>
      </c>
      <c r="C567" s="1">
        <v>45225</v>
      </c>
      <c r="D567" t="s">
        <v>1604</v>
      </c>
      <c r="E567" t="s">
        <v>1605</v>
      </c>
      <c r="F567" t="s">
        <v>47</v>
      </c>
      <c r="G567" t="s">
        <v>25</v>
      </c>
      <c r="H567">
        <v>11</v>
      </c>
      <c r="I567">
        <v>2023</v>
      </c>
      <c r="J567" t="s">
        <v>199</v>
      </c>
      <c r="L567" s="1">
        <v>45208</v>
      </c>
      <c r="M567" s="1" t="s">
        <v>3154</v>
      </c>
      <c r="N567" t="s">
        <v>1606</v>
      </c>
      <c r="O567" t="s">
        <v>3149</v>
      </c>
    </row>
    <row r="568" spans="1:15" x14ac:dyDescent="0.3">
      <c r="A568" t="s">
        <v>1607</v>
      </c>
      <c r="B568">
        <v>7</v>
      </c>
      <c r="C568" s="1">
        <v>45225</v>
      </c>
      <c r="D568" t="s">
        <v>1608</v>
      </c>
      <c r="E568" t="s">
        <v>1609</v>
      </c>
      <c r="F568" t="s">
        <v>47</v>
      </c>
      <c r="G568" t="s">
        <v>25</v>
      </c>
      <c r="H568">
        <v>15</v>
      </c>
      <c r="I568">
        <v>2023</v>
      </c>
      <c r="J568" t="s">
        <v>199</v>
      </c>
      <c r="L568" s="1">
        <v>45208</v>
      </c>
      <c r="M568" s="1" t="s">
        <v>3193</v>
      </c>
      <c r="N568" t="s">
        <v>1610</v>
      </c>
      <c r="O568" t="s">
        <v>3149</v>
      </c>
    </row>
    <row r="569" spans="1:15" x14ac:dyDescent="0.3">
      <c r="A569" t="s">
        <v>1611</v>
      </c>
      <c r="B569">
        <v>7</v>
      </c>
      <c r="C569" s="1">
        <v>45225</v>
      </c>
      <c r="D569" t="s">
        <v>1612</v>
      </c>
      <c r="E569" t="s">
        <v>1613</v>
      </c>
      <c r="F569" t="s">
        <v>47</v>
      </c>
      <c r="G569" t="s">
        <v>25</v>
      </c>
      <c r="H569">
        <v>17</v>
      </c>
      <c r="I569">
        <v>2023</v>
      </c>
      <c r="J569" t="s">
        <v>199</v>
      </c>
      <c r="L569" s="1">
        <v>45208</v>
      </c>
      <c r="M569" s="1" t="s">
        <v>3202</v>
      </c>
      <c r="N569" t="s">
        <v>1614</v>
      </c>
      <c r="O569" t="s">
        <v>3149</v>
      </c>
    </row>
    <row r="570" spans="1:15" x14ac:dyDescent="0.3">
      <c r="A570" t="s">
        <v>1615</v>
      </c>
      <c r="B570">
        <v>7</v>
      </c>
      <c r="C570" s="1">
        <v>45228</v>
      </c>
      <c r="D570" t="s">
        <v>1616</v>
      </c>
      <c r="E570" t="s">
        <v>1617</v>
      </c>
      <c r="F570" t="s">
        <v>47</v>
      </c>
      <c r="G570" t="s">
        <v>25</v>
      </c>
      <c r="H570">
        <v>13</v>
      </c>
      <c r="I570">
        <v>2023</v>
      </c>
      <c r="J570" t="s">
        <v>199</v>
      </c>
      <c r="L570" s="1">
        <v>45208</v>
      </c>
      <c r="M570" s="1" t="s">
        <v>3223</v>
      </c>
      <c r="N570" t="s">
        <v>1618</v>
      </c>
      <c r="O570" t="s">
        <v>3149</v>
      </c>
    </row>
    <row r="571" spans="1:15" x14ac:dyDescent="0.3">
      <c r="A571" t="s">
        <v>1631</v>
      </c>
      <c r="B571">
        <v>6</v>
      </c>
      <c r="C571" s="1">
        <v>44882</v>
      </c>
      <c r="D571" t="s">
        <v>1632</v>
      </c>
      <c r="E571" t="s">
        <v>1633</v>
      </c>
      <c r="F571" t="s">
        <v>47</v>
      </c>
      <c r="G571" t="s">
        <v>105</v>
      </c>
      <c r="H571">
        <v>30</v>
      </c>
      <c r="I571">
        <v>1939</v>
      </c>
      <c r="J571" t="s">
        <v>456</v>
      </c>
      <c r="K571">
        <v>12</v>
      </c>
      <c r="L571" s="1">
        <v>14610</v>
      </c>
      <c r="M571" s="1" t="s">
        <v>3179</v>
      </c>
      <c r="N571" t="s">
        <v>1634</v>
      </c>
      <c r="O571" t="s">
        <v>3149</v>
      </c>
    </row>
    <row r="572" spans="1:15" x14ac:dyDescent="0.3">
      <c r="A572" t="s">
        <v>1646</v>
      </c>
      <c r="B572">
        <v>5</v>
      </c>
      <c r="C572" s="1">
        <v>44736</v>
      </c>
      <c r="D572" t="s">
        <v>1647</v>
      </c>
      <c r="E572" t="s">
        <v>1648</v>
      </c>
      <c r="F572" t="s">
        <v>47</v>
      </c>
      <c r="G572" t="s">
        <v>79</v>
      </c>
      <c r="H572">
        <v>19</v>
      </c>
      <c r="I572">
        <v>2014</v>
      </c>
      <c r="J572" t="s">
        <v>1649</v>
      </c>
      <c r="K572">
        <v>24</v>
      </c>
      <c r="L572" s="1">
        <v>41836</v>
      </c>
      <c r="M572" s="1" t="s">
        <v>3154</v>
      </c>
      <c r="N572" t="s">
        <v>1650</v>
      </c>
      <c r="O572" t="s">
        <v>3149</v>
      </c>
    </row>
    <row r="573" spans="1:15" x14ac:dyDescent="0.3">
      <c r="A573" t="s">
        <v>1656</v>
      </c>
      <c r="B573">
        <v>7</v>
      </c>
      <c r="C573" s="1">
        <v>44402</v>
      </c>
      <c r="D573" t="s">
        <v>1657</v>
      </c>
      <c r="E573" t="s">
        <v>1658</v>
      </c>
      <c r="F573" t="s">
        <v>551</v>
      </c>
      <c r="G573" t="s">
        <v>187</v>
      </c>
      <c r="H573">
        <v>60</v>
      </c>
      <c r="I573">
        <v>2013</v>
      </c>
      <c r="J573" t="s">
        <v>1659</v>
      </c>
      <c r="K573">
        <v>12834</v>
      </c>
      <c r="L573" s="1">
        <v>41624</v>
      </c>
      <c r="M573" s="1" t="s">
        <v>3165</v>
      </c>
      <c r="N573" t="s">
        <v>1660</v>
      </c>
      <c r="O573" t="s">
        <v>3149</v>
      </c>
    </row>
    <row r="574" spans="1:15" x14ac:dyDescent="0.3">
      <c r="A574" t="s">
        <v>1661</v>
      </c>
      <c r="B574">
        <v>6</v>
      </c>
      <c r="C574" s="1">
        <v>44397</v>
      </c>
      <c r="D574" t="s">
        <v>1662</v>
      </c>
      <c r="E574" t="s">
        <v>1663</v>
      </c>
      <c r="F574" t="s">
        <v>15</v>
      </c>
      <c r="G574" t="s">
        <v>16</v>
      </c>
      <c r="H574">
        <v>134</v>
      </c>
      <c r="I574">
        <v>2021</v>
      </c>
      <c r="J574" t="s">
        <v>1664</v>
      </c>
      <c r="K574">
        <v>258872</v>
      </c>
      <c r="L574" s="1">
        <v>44334</v>
      </c>
      <c r="M574" s="1" t="s">
        <v>3165</v>
      </c>
      <c r="N574" t="s">
        <v>1665</v>
      </c>
      <c r="O574" t="s">
        <v>3149</v>
      </c>
    </row>
    <row r="575" spans="1:15" x14ac:dyDescent="0.3">
      <c r="A575" t="s">
        <v>1669</v>
      </c>
      <c r="B575">
        <v>6</v>
      </c>
      <c r="C575" s="1">
        <v>45153</v>
      </c>
      <c r="D575" t="s">
        <v>1670</v>
      </c>
      <c r="E575" t="s">
        <v>1671</v>
      </c>
      <c r="F575" t="s">
        <v>15</v>
      </c>
      <c r="G575" t="s">
        <v>67</v>
      </c>
      <c r="H575">
        <v>100</v>
      </c>
      <c r="I575">
        <v>2014</v>
      </c>
      <c r="J575" t="s">
        <v>738</v>
      </c>
      <c r="K575">
        <v>263798</v>
      </c>
      <c r="L575" s="1">
        <v>41776</v>
      </c>
      <c r="M575" s="1" t="s">
        <v>3165</v>
      </c>
      <c r="N575" t="s">
        <v>1672</v>
      </c>
      <c r="O575" t="s">
        <v>3149</v>
      </c>
    </row>
    <row r="576" spans="1:15" x14ac:dyDescent="0.3">
      <c r="A576" t="s">
        <v>1677</v>
      </c>
      <c r="B576">
        <v>9</v>
      </c>
      <c r="C576" s="1">
        <v>44588</v>
      </c>
      <c r="D576" t="s">
        <v>1678</v>
      </c>
      <c r="E576" t="s">
        <v>1679</v>
      </c>
      <c r="F576" t="s">
        <v>15</v>
      </c>
      <c r="G576" t="s">
        <v>61</v>
      </c>
      <c r="H576">
        <v>135</v>
      </c>
      <c r="I576">
        <v>2019</v>
      </c>
      <c r="J576" t="s">
        <v>42</v>
      </c>
      <c r="K576">
        <v>235420</v>
      </c>
      <c r="L576" s="1">
        <v>43806</v>
      </c>
      <c r="M576" s="1" t="s">
        <v>3165</v>
      </c>
      <c r="N576" t="s">
        <v>902</v>
      </c>
      <c r="O576" t="s">
        <v>3175</v>
      </c>
    </row>
    <row r="577" spans="1:15" x14ac:dyDescent="0.3">
      <c r="A577" t="s">
        <v>1691</v>
      </c>
      <c r="B577">
        <v>6</v>
      </c>
      <c r="C577" s="1">
        <v>44627</v>
      </c>
      <c r="D577" t="s">
        <v>1692</v>
      </c>
      <c r="E577" t="s">
        <v>1693</v>
      </c>
      <c r="F577" t="s">
        <v>708</v>
      </c>
      <c r="G577" t="s">
        <v>84</v>
      </c>
      <c r="H577">
        <v>120</v>
      </c>
      <c r="I577">
        <v>2010</v>
      </c>
      <c r="J577" t="s">
        <v>235</v>
      </c>
      <c r="K577">
        <v>57</v>
      </c>
      <c r="L577" s="1">
        <v>40476</v>
      </c>
      <c r="M577" s="1" t="s">
        <v>3171</v>
      </c>
      <c r="N577" t="s">
        <v>1694</v>
      </c>
      <c r="O577" t="s">
        <v>3149</v>
      </c>
    </row>
    <row r="578" spans="1:15" x14ac:dyDescent="0.3">
      <c r="A578" t="s">
        <v>1702</v>
      </c>
      <c r="B578">
        <v>7</v>
      </c>
      <c r="C578" s="1">
        <v>44417</v>
      </c>
      <c r="D578" t="s">
        <v>1703</v>
      </c>
      <c r="E578" t="s">
        <v>1704</v>
      </c>
      <c r="F578" t="s">
        <v>15</v>
      </c>
      <c r="G578" t="s">
        <v>73</v>
      </c>
      <c r="H578">
        <v>114</v>
      </c>
      <c r="I578">
        <v>2017</v>
      </c>
      <c r="J578" t="s">
        <v>1705</v>
      </c>
      <c r="K578">
        <v>286635</v>
      </c>
      <c r="L578" s="1">
        <v>43042</v>
      </c>
      <c r="M578" s="1" t="s">
        <v>3165</v>
      </c>
      <c r="N578" t="s">
        <v>641</v>
      </c>
      <c r="O578" t="s">
        <v>3149</v>
      </c>
    </row>
    <row r="579" spans="1:15" x14ac:dyDescent="0.3">
      <c r="A579" t="s">
        <v>1706</v>
      </c>
      <c r="B579">
        <v>2</v>
      </c>
      <c r="C579" s="1">
        <v>44949</v>
      </c>
      <c r="D579" t="s">
        <v>1707</v>
      </c>
      <c r="E579" t="s">
        <v>1708</v>
      </c>
      <c r="F579" t="s">
        <v>15</v>
      </c>
      <c r="G579" t="s">
        <v>346</v>
      </c>
      <c r="H579">
        <v>107</v>
      </c>
      <c r="I579">
        <v>2017</v>
      </c>
      <c r="J579" t="s">
        <v>30</v>
      </c>
      <c r="K579">
        <v>22682</v>
      </c>
      <c r="L579" s="1">
        <v>42807</v>
      </c>
      <c r="M579" s="1" t="s">
        <v>3165</v>
      </c>
      <c r="N579" t="s">
        <v>1709</v>
      </c>
      <c r="O579" t="s">
        <v>3149</v>
      </c>
    </row>
    <row r="580" spans="1:15" x14ac:dyDescent="0.3">
      <c r="A580" t="s">
        <v>1710</v>
      </c>
      <c r="B580">
        <v>7</v>
      </c>
      <c r="C580" s="1">
        <v>43925</v>
      </c>
      <c r="D580" t="s">
        <v>1711</v>
      </c>
      <c r="E580" t="s">
        <v>1712</v>
      </c>
      <c r="F580" t="s">
        <v>15</v>
      </c>
      <c r="G580" t="s">
        <v>41</v>
      </c>
      <c r="H580">
        <v>86</v>
      </c>
      <c r="I580">
        <v>2014</v>
      </c>
      <c r="J580" t="s">
        <v>1713</v>
      </c>
      <c r="K580">
        <v>196915</v>
      </c>
      <c r="L580" s="1">
        <v>41658</v>
      </c>
      <c r="M580" s="1" t="s">
        <v>3173</v>
      </c>
      <c r="N580" t="s">
        <v>1714</v>
      </c>
      <c r="O580" t="s">
        <v>3149</v>
      </c>
    </row>
    <row r="581" spans="1:15" x14ac:dyDescent="0.3">
      <c r="A581" t="s">
        <v>1719</v>
      </c>
      <c r="B581">
        <v>7</v>
      </c>
      <c r="C581" s="1">
        <v>43838</v>
      </c>
      <c r="D581" t="s">
        <v>1720</v>
      </c>
      <c r="E581" t="s">
        <v>1721</v>
      </c>
      <c r="F581" t="s">
        <v>15</v>
      </c>
      <c r="G581" t="s">
        <v>61</v>
      </c>
      <c r="H581">
        <v>168</v>
      </c>
      <c r="I581">
        <v>2015</v>
      </c>
      <c r="J581" t="s">
        <v>1722</v>
      </c>
      <c r="K581">
        <v>646782</v>
      </c>
      <c r="L581" s="1">
        <v>42345</v>
      </c>
      <c r="M581" s="1" t="s">
        <v>3165</v>
      </c>
      <c r="N581" t="s">
        <v>189</v>
      </c>
      <c r="O581" t="s">
        <v>3149</v>
      </c>
    </row>
    <row r="582" spans="1:15" x14ac:dyDescent="0.3">
      <c r="A582" t="s">
        <v>1723</v>
      </c>
      <c r="B582">
        <v>7</v>
      </c>
      <c r="C582" s="1">
        <v>44586</v>
      </c>
      <c r="D582" t="s">
        <v>1724</v>
      </c>
      <c r="E582" t="s">
        <v>1725</v>
      </c>
      <c r="F582" t="s">
        <v>15</v>
      </c>
      <c r="G582" t="s">
        <v>198</v>
      </c>
      <c r="H582">
        <v>119</v>
      </c>
      <c r="I582">
        <v>2015</v>
      </c>
      <c r="J582" t="s">
        <v>1726</v>
      </c>
      <c r="K582">
        <v>281637</v>
      </c>
      <c r="L582" s="1">
        <v>42139</v>
      </c>
      <c r="M582" s="1" t="s">
        <v>3176</v>
      </c>
      <c r="N582" t="s">
        <v>1727</v>
      </c>
      <c r="O582" t="s">
        <v>3149</v>
      </c>
    </row>
    <row r="583" spans="1:15" x14ac:dyDescent="0.3">
      <c r="A583" t="s">
        <v>1728</v>
      </c>
      <c r="B583">
        <v>5</v>
      </c>
      <c r="C583" s="1">
        <v>44586</v>
      </c>
      <c r="D583" t="s">
        <v>1729</v>
      </c>
      <c r="E583" t="s">
        <v>1730</v>
      </c>
      <c r="F583" t="s">
        <v>15</v>
      </c>
      <c r="G583" t="s">
        <v>158</v>
      </c>
      <c r="H583">
        <v>45</v>
      </c>
      <c r="I583">
        <v>1930</v>
      </c>
      <c r="J583" t="s">
        <v>24</v>
      </c>
      <c r="K583">
        <v>89</v>
      </c>
      <c r="L583" s="1">
        <v>11021</v>
      </c>
      <c r="M583" s="1" t="s">
        <v>3179</v>
      </c>
      <c r="N583" t="s">
        <v>1731</v>
      </c>
      <c r="O583" t="s">
        <v>3149</v>
      </c>
    </row>
    <row r="584" spans="1:15" x14ac:dyDescent="0.3">
      <c r="A584" t="s">
        <v>1732</v>
      </c>
      <c r="B584">
        <v>7</v>
      </c>
      <c r="C584" s="1">
        <v>43484</v>
      </c>
      <c r="D584" t="s">
        <v>1733</v>
      </c>
      <c r="E584" t="s">
        <v>1734</v>
      </c>
      <c r="F584" t="s">
        <v>15</v>
      </c>
      <c r="G584" t="s">
        <v>143</v>
      </c>
      <c r="H584">
        <v>106</v>
      </c>
      <c r="I584">
        <v>2016</v>
      </c>
      <c r="J584" t="s">
        <v>1735</v>
      </c>
      <c r="K584">
        <v>99734</v>
      </c>
      <c r="L584" s="1">
        <v>42393</v>
      </c>
      <c r="M584" s="1" t="s">
        <v>3176</v>
      </c>
      <c r="N584" t="s">
        <v>1736</v>
      </c>
      <c r="O584" t="s">
        <v>3149</v>
      </c>
    </row>
    <row r="585" spans="1:15" x14ac:dyDescent="0.3">
      <c r="A585" t="s">
        <v>1737</v>
      </c>
      <c r="B585">
        <v>7</v>
      </c>
      <c r="C585" s="1">
        <v>44638</v>
      </c>
      <c r="D585" t="s">
        <v>1738</v>
      </c>
      <c r="E585" t="s">
        <v>1739</v>
      </c>
      <c r="F585" t="s">
        <v>15</v>
      </c>
      <c r="G585" t="s">
        <v>61</v>
      </c>
      <c r="H585">
        <v>118</v>
      </c>
      <c r="I585">
        <v>2016</v>
      </c>
      <c r="J585" t="s">
        <v>261</v>
      </c>
      <c r="K585">
        <v>231397</v>
      </c>
      <c r="L585" s="1">
        <v>42392</v>
      </c>
      <c r="M585" s="1" t="s">
        <v>3165</v>
      </c>
      <c r="N585" t="s">
        <v>1740</v>
      </c>
      <c r="O585" t="s">
        <v>3149</v>
      </c>
    </row>
    <row r="586" spans="1:15" x14ac:dyDescent="0.3">
      <c r="A586" t="s">
        <v>1746</v>
      </c>
      <c r="B586">
        <v>4</v>
      </c>
      <c r="C586" s="1">
        <v>45167</v>
      </c>
      <c r="D586" t="s">
        <v>1747</v>
      </c>
      <c r="E586" t="s">
        <v>1748</v>
      </c>
      <c r="F586" t="s">
        <v>15</v>
      </c>
      <c r="G586" t="s">
        <v>198</v>
      </c>
      <c r="H586">
        <v>156</v>
      </c>
      <c r="I586">
        <v>2021</v>
      </c>
      <c r="J586" t="s">
        <v>1749</v>
      </c>
      <c r="K586">
        <v>93118</v>
      </c>
      <c r="L586" s="1">
        <v>44529</v>
      </c>
      <c r="M586" s="1" t="s">
        <v>3165</v>
      </c>
      <c r="N586" t="s">
        <v>272</v>
      </c>
      <c r="O586" t="s">
        <v>3149</v>
      </c>
    </row>
    <row r="587" spans="1:15" x14ac:dyDescent="0.3">
      <c r="A587" t="s">
        <v>1750</v>
      </c>
      <c r="B587">
        <v>7</v>
      </c>
      <c r="C587" s="1">
        <v>45277</v>
      </c>
      <c r="D587" t="s">
        <v>1751</v>
      </c>
      <c r="E587" t="s">
        <v>1752</v>
      </c>
      <c r="F587" t="s">
        <v>22</v>
      </c>
      <c r="G587" t="s">
        <v>61</v>
      </c>
      <c r="H587">
        <v>172</v>
      </c>
      <c r="I587">
        <v>2015</v>
      </c>
      <c r="J587" t="s">
        <v>409</v>
      </c>
      <c r="K587">
        <v>42902</v>
      </c>
      <c r="L587" s="1">
        <v>42131</v>
      </c>
      <c r="M587" s="1" t="s">
        <v>3171</v>
      </c>
      <c r="N587" t="s">
        <v>3222</v>
      </c>
      <c r="O587" t="s">
        <v>3149</v>
      </c>
    </row>
    <row r="588" spans="1:15" x14ac:dyDescent="0.3">
      <c r="A588" t="s">
        <v>1765</v>
      </c>
      <c r="B588">
        <v>5</v>
      </c>
      <c r="C588" s="1">
        <v>43829</v>
      </c>
      <c r="D588" t="s">
        <v>1766</v>
      </c>
      <c r="E588" t="s">
        <v>1767</v>
      </c>
      <c r="F588" t="s">
        <v>15</v>
      </c>
      <c r="G588" t="s">
        <v>417</v>
      </c>
      <c r="H588">
        <v>93</v>
      </c>
      <c r="I588">
        <v>2016</v>
      </c>
      <c r="J588" t="s">
        <v>159</v>
      </c>
      <c r="K588">
        <v>14750</v>
      </c>
      <c r="L588" s="1">
        <v>42635</v>
      </c>
      <c r="M588" s="1" t="s">
        <v>3171</v>
      </c>
      <c r="N588" t="s">
        <v>1768</v>
      </c>
      <c r="O588" t="s">
        <v>3149</v>
      </c>
    </row>
    <row r="589" spans="1:15" x14ac:dyDescent="0.3">
      <c r="A589" t="s">
        <v>1774</v>
      </c>
      <c r="B589">
        <v>7</v>
      </c>
      <c r="C589" s="1">
        <v>44553</v>
      </c>
      <c r="D589" t="s">
        <v>1775</v>
      </c>
      <c r="E589" t="s">
        <v>1776</v>
      </c>
      <c r="F589" t="s">
        <v>15</v>
      </c>
      <c r="G589" t="s">
        <v>198</v>
      </c>
      <c r="H589">
        <v>89</v>
      </c>
      <c r="I589">
        <v>2014</v>
      </c>
      <c r="J589" t="s">
        <v>96</v>
      </c>
      <c r="K589">
        <v>1775</v>
      </c>
      <c r="L589" s="1">
        <v>41746</v>
      </c>
      <c r="M589" s="1" t="s">
        <v>3165</v>
      </c>
      <c r="N589" t="s">
        <v>1777</v>
      </c>
    </row>
    <row r="590" spans="1:15" x14ac:dyDescent="0.3">
      <c r="A590" t="s">
        <v>1778</v>
      </c>
      <c r="B590">
        <v>8</v>
      </c>
      <c r="C590" s="1">
        <v>44742</v>
      </c>
      <c r="D590" t="s">
        <v>1779</v>
      </c>
      <c r="E590" t="s">
        <v>1780</v>
      </c>
      <c r="F590" t="s">
        <v>15</v>
      </c>
      <c r="G590" t="s">
        <v>16</v>
      </c>
      <c r="H590">
        <v>159</v>
      </c>
      <c r="I590">
        <v>2022</v>
      </c>
      <c r="J590" t="s">
        <v>74</v>
      </c>
      <c r="K590">
        <v>222854</v>
      </c>
      <c r="L590" s="1">
        <v>44706</v>
      </c>
      <c r="M590" s="1" t="s">
        <v>3165</v>
      </c>
      <c r="N590" t="s">
        <v>721</v>
      </c>
      <c r="O590" t="s">
        <v>3149</v>
      </c>
    </row>
    <row r="591" spans="1:15" x14ac:dyDescent="0.3">
      <c r="A591" t="s">
        <v>1781</v>
      </c>
      <c r="B591">
        <v>5</v>
      </c>
      <c r="C591" s="1">
        <v>45129</v>
      </c>
      <c r="D591" t="s">
        <v>1782</v>
      </c>
      <c r="E591" t="s">
        <v>1783</v>
      </c>
      <c r="F591" t="s">
        <v>15</v>
      </c>
      <c r="G591" t="s">
        <v>198</v>
      </c>
      <c r="H591">
        <v>130</v>
      </c>
      <c r="I591">
        <v>2016</v>
      </c>
      <c r="J591" t="s">
        <v>123</v>
      </c>
      <c r="K591">
        <v>70304</v>
      </c>
      <c r="L591" s="1">
        <v>42511</v>
      </c>
      <c r="M591" s="1" t="s">
        <v>3155</v>
      </c>
      <c r="N591" t="s">
        <v>179</v>
      </c>
      <c r="O591" t="s">
        <v>3149</v>
      </c>
    </row>
    <row r="592" spans="1:15" x14ac:dyDescent="0.3">
      <c r="A592" t="s">
        <v>1784</v>
      </c>
      <c r="B592">
        <v>6</v>
      </c>
      <c r="C592" s="1">
        <v>45144</v>
      </c>
      <c r="D592" t="s">
        <v>1785</v>
      </c>
      <c r="E592" t="s">
        <v>1786</v>
      </c>
      <c r="F592" t="s">
        <v>15</v>
      </c>
      <c r="G592" t="s">
        <v>95</v>
      </c>
      <c r="H592">
        <v>163</v>
      </c>
      <c r="I592">
        <v>2016</v>
      </c>
      <c r="J592" t="s">
        <v>1787</v>
      </c>
      <c r="K592">
        <v>45851</v>
      </c>
      <c r="L592" s="1">
        <v>42505</v>
      </c>
      <c r="M592" s="1" t="s">
        <v>3165</v>
      </c>
      <c r="N592" t="s">
        <v>1788</v>
      </c>
      <c r="O592" t="s">
        <v>3175</v>
      </c>
    </row>
    <row r="593" spans="1:15" x14ac:dyDescent="0.3">
      <c r="A593" t="s">
        <v>1797</v>
      </c>
      <c r="B593">
        <v>7</v>
      </c>
      <c r="C593" s="1">
        <v>44433</v>
      </c>
      <c r="D593" t="s">
        <v>1798</v>
      </c>
      <c r="E593" t="s">
        <v>1799</v>
      </c>
      <c r="F593" t="s">
        <v>15</v>
      </c>
      <c r="G593" t="s">
        <v>105</v>
      </c>
      <c r="H593">
        <v>135</v>
      </c>
      <c r="I593">
        <v>2015</v>
      </c>
      <c r="J593" t="s">
        <v>42</v>
      </c>
      <c r="K593">
        <v>65282</v>
      </c>
      <c r="L593" s="1">
        <v>42144</v>
      </c>
      <c r="M593" s="1" t="s">
        <v>3155</v>
      </c>
      <c r="N593" t="s">
        <v>118</v>
      </c>
      <c r="O593" t="s">
        <v>3149</v>
      </c>
    </row>
    <row r="594" spans="1:15" x14ac:dyDescent="0.3">
      <c r="A594" t="s">
        <v>1800</v>
      </c>
      <c r="B594">
        <v>8</v>
      </c>
      <c r="C594" s="1">
        <v>44613</v>
      </c>
      <c r="D594" t="s">
        <v>1801</v>
      </c>
      <c r="E594" t="s">
        <v>1802</v>
      </c>
      <c r="F594" t="s">
        <v>15</v>
      </c>
      <c r="G594" t="s">
        <v>524</v>
      </c>
      <c r="H594">
        <v>101</v>
      </c>
      <c r="I594">
        <v>2021</v>
      </c>
      <c r="J594" t="s">
        <v>1803</v>
      </c>
      <c r="K594">
        <v>1889</v>
      </c>
      <c r="L594" s="1">
        <v>44448</v>
      </c>
      <c r="M594" s="1" t="s">
        <v>3154</v>
      </c>
      <c r="N594" t="s">
        <v>1804</v>
      </c>
      <c r="O594" t="s">
        <v>3149</v>
      </c>
    </row>
    <row r="595" spans="1:15" x14ac:dyDescent="0.3">
      <c r="A595" t="s">
        <v>1808</v>
      </c>
      <c r="B595">
        <v>8</v>
      </c>
      <c r="C595" s="1">
        <v>44205</v>
      </c>
      <c r="D595" t="s">
        <v>1809</v>
      </c>
      <c r="E595" t="s">
        <v>1810</v>
      </c>
      <c r="F595" t="s">
        <v>15</v>
      </c>
      <c r="G595" t="s">
        <v>29</v>
      </c>
      <c r="H595">
        <v>128</v>
      </c>
      <c r="I595">
        <v>2016</v>
      </c>
      <c r="J595" t="s">
        <v>1811</v>
      </c>
      <c r="K595">
        <v>647749</v>
      </c>
      <c r="L595" s="1">
        <v>42613</v>
      </c>
      <c r="M595" s="1" t="s">
        <v>3165</v>
      </c>
      <c r="N595" t="s">
        <v>221</v>
      </c>
      <c r="O595" t="s">
        <v>3149</v>
      </c>
    </row>
    <row r="596" spans="1:15" x14ac:dyDescent="0.3">
      <c r="A596" t="s">
        <v>1812</v>
      </c>
      <c r="B596">
        <v>7</v>
      </c>
      <c r="C596" s="1">
        <v>45137</v>
      </c>
      <c r="D596" t="s">
        <v>1813</v>
      </c>
      <c r="E596" t="s">
        <v>1814</v>
      </c>
      <c r="F596" t="s">
        <v>15</v>
      </c>
      <c r="G596" t="s">
        <v>148</v>
      </c>
      <c r="H596">
        <v>116</v>
      </c>
      <c r="I596">
        <v>2016</v>
      </c>
      <c r="J596" t="s">
        <v>1744</v>
      </c>
      <c r="K596">
        <v>362626</v>
      </c>
      <c r="L596" s="1">
        <v>42500</v>
      </c>
      <c r="M596" s="1" t="s">
        <v>3165</v>
      </c>
      <c r="N596" t="s">
        <v>1815</v>
      </c>
      <c r="O596" t="s">
        <v>3149</v>
      </c>
    </row>
    <row r="597" spans="1:15" x14ac:dyDescent="0.3">
      <c r="A597" t="s">
        <v>1819</v>
      </c>
      <c r="B597">
        <v>7</v>
      </c>
      <c r="C597" s="1">
        <v>45195</v>
      </c>
      <c r="D597" t="s">
        <v>1820</v>
      </c>
      <c r="E597" t="s">
        <v>1821</v>
      </c>
      <c r="F597" t="s">
        <v>15</v>
      </c>
      <c r="G597" t="s">
        <v>198</v>
      </c>
      <c r="H597">
        <v>88</v>
      </c>
      <c r="I597">
        <v>2015</v>
      </c>
      <c r="J597" t="s">
        <v>1822</v>
      </c>
      <c r="K597">
        <v>35049</v>
      </c>
      <c r="L597" s="1">
        <v>42027</v>
      </c>
      <c r="M597" s="1" t="s">
        <v>3165</v>
      </c>
      <c r="N597" t="s">
        <v>729</v>
      </c>
      <c r="O597" t="s">
        <v>3149</v>
      </c>
    </row>
    <row r="598" spans="1:15" x14ac:dyDescent="0.3">
      <c r="A598" t="s">
        <v>1833</v>
      </c>
      <c r="B598">
        <v>5</v>
      </c>
      <c r="C598" s="1">
        <v>45173</v>
      </c>
      <c r="D598" t="s">
        <v>1834</v>
      </c>
      <c r="E598" t="s">
        <v>1835</v>
      </c>
      <c r="F598" t="s">
        <v>15</v>
      </c>
      <c r="G598" t="s">
        <v>158</v>
      </c>
      <c r="H598">
        <v>104</v>
      </c>
      <c r="I598">
        <v>2015</v>
      </c>
      <c r="J598" t="s">
        <v>1836</v>
      </c>
      <c r="K598">
        <v>14230</v>
      </c>
      <c r="L598" s="1">
        <v>42040</v>
      </c>
      <c r="M598" s="1" t="s">
        <v>3188</v>
      </c>
      <c r="N598" t="s">
        <v>1837</v>
      </c>
      <c r="O598" t="s">
        <v>3149</v>
      </c>
    </row>
    <row r="599" spans="1:15" x14ac:dyDescent="0.3">
      <c r="A599" t="s">
        <v>1847</v>
      </c>
      <c r="B599">
        <v>6</v>
      </c>
      <c r="C599" s="1">
        <v>45207</v>
      </c>
      <c r="D599" t="s">
        <v>1848</v>
      </c>
      <c r="E599" t="s">
        <v>1849</v>
      </c>
      <c r="F599" t="s">
        <v>15</v>
      </c>
      <c r="G599" t="s">
        <v>346</v>
      </c>
      <c r="H599">
        <v>120</v>
      </c>
      <c r="I599">
        <v>2017</v>
      </c>
      <c r="J599" t="s">
        <v>1850</v>
      </c>
      <c r="K599">
        <v>17455</v>
      </c>
      <c r="L599" s="1">
        <v>42987</v>
      </c>
      <c r="M599" s="1" t="s">
        <v>3202</v>
      </c>
      <c r="N599" t="s">
        <v>1851</v>
      </c>
      <c r="O599" t="s">
        <v>3175</v>
      </c>
    </row>
    <row r="600" spans="1:15" x14ac:dyDescent="0.3">
      <c r="A600" t="s">
        <v>1857</v>
      </c>
      <c r="B600">
        <v>7</v>
      </c>
      <c r="C600" s="1">
        <v>45219</v>
      </c>
      <c r="D600" t="s">
        <v>1858</v>
      </c>
      <c r="E600" t="s">
        <v>1859</v>
      </c>
      <c r="F600" t="s">
        <v>15</v>
      </c>
      <c r="G600" t="s">
        <v>41</v>
      </c>
      <c r="H600">
        <v>97</v>
      </c>
      <c r="I600">
        <v>2015</v>
      </c>
      <c r="J600" t="s">
        <v>24</v>
      </c>
      <c r="K600">
        <v>40491</v>
      </c>
      <c r="L600" s="1">
        <v>42143</v>
      </c>
      <c r="M600" s="1" t="s">
        <v>3206</v>
      </c>
      <c r="N600" t="s">
        <v>1860</v>
      </c>
      <c r="O600" t="s">
        <v>3175</v>
      </c>
    </row>
    <row r="601" spans="1:15" x14ac:dyDescent="0.3">
      <c r="A601" t="s">
        <v>1861</v>
      </c>
      <c r="B601">
        <v>7</v>
      </c>
      <c r="C601" s="1">
        <v>45122</v>
      </c>
      <c r="D601" t="s">
        <v>1862</v>
      </c>
      <c r="E601" t="s">
        <v>1863</v>
      </c>
      <c r="F601" t="s">
        <v>15</v>
      </c>
      <c r="G601" t="s">
        <v>334</v>
      </c>
      <c r="H601">
        <v>145</v>
      </c>
      <c r="I601">
        <v>2016</v>
      </c>
      <c r="J601" t="s">
        <v>1864</v>
      </c>
      <c r="K601">
        <v>167086</v>
      </c>
      <c r="L601" s="1">
        <v>42504</v>
      </c>
      <c r="M601" s="1" t="s">
        <v>3197</v>
      </c>
      <c r="N601" t="s">
        <v>594</v>
      </c>
      <c r="O601" t="s">
        <v>3149</v>
      </c>
    </row>
    <row r="602" spans="1:15" x14ac:dyDescent="0.3">
      <c r="A602" t="s">
        <v>1865</v>
      </c>
      <c r="B602">
        <v>6</v>
      </c>
      <c r="C602" s="1">
        <v>44205</v>
      </c>
      <c r="D602" t="s">
        <v>1866</v>
      </c>
      <c r="E602" t="s">
        <v>1867</v>
      </c>
      <c r="F602" t="s">
        <v>15</v>
      </c>
      <c r="G602" t="s">
        <v>61</v>
      </c>
      <c r="H602">
        <v>137</v>
      </c>
      <c r="I602">
        <v>2016</v>
      </c>
      <c r="J602" t="s">
        <v>24</v>
      </c>
      <c r="K602">
        <v>305633</v>
      </c>
      <c r="L602" s="1">
        <v>42392</v>
      </c>
      <c r="M602" s="1" t="s">
        <v>3165</v>
      </c>
      <c r="N602" t="s">
        <v>1868</v>
      </c>
      <c r="O602" t="s">
        <v>3149</v>
      </c>
    </row>
    <row r="603" spans="1:15" x14ac:dyDescent="0.3">
      <c r="A603" t="s">
        <v>1889</v>
      </c>
      <c r="B603">
        <v>4</v>
      </c>
      <c r="C603" s="1">
        <v>44428</v>
      </c>
      <c r="D603" t="s">
        <v>1890</v>
      </c>
      <c r="E603" t="s">
        <v>1891</v>
      </c>
      <c r="F603" t="s">
        <v>15</v>
      </c>
      <c r="G603" t="s">
        <v>198</v>
      </c>
      <c r="H603">
        <v>116</v>
      </c>
      <c r="I603">
        <v>2020</v>
      </c>
      <c r="J603" t="s">
        <v>24</v>
      </c>
      <c r="K603">
        <v>153</v>
      </c>
      <c r="L603" s="1">
        <v>44063</v>
      </c>
      <c r="M603" s="1" t="s">
        <v>3154</v>
      </c>
      <c r="N603" t="s">
        <v>1182</v>
      </c>
      <c r="O603" t="s">
        <v>3149</v>
      </c>
    </row>
    <row r="604" spans="1:15" x14ac:dyDescent="0.3">
      <c r="A604" t="s">
        <v>1907</v>
      </c>
      <c r="B604">
        <v>10</v>
      </c>
      <c r="C604" s="1">
        <v>43473</v>
      </c>
      <c r="D604" t="s">
        <v>1908</v>
      </c>
      <c r="E604" t="s">
        <v>1909</v>
      </c>
      <c r="F604" t="s">
        <v>216</v>
      </c>
      <c r="G604" t="s">
        <v>23</v>
      </c>
      <c r="H604">
        <f>32*49</f>
        <v>1568</v>
      </c>
      <c r="I604">
        <v>2015</v>
      </c>
      <c r="J604" t="s">
        <v>123</v>
      </c>
      <c r="K604">
        <v>411463</v>
      </c>
      <c r="L604" s="1">
        <v>42080</v>
      </c>
      <c r="M604" s="1" t="s">
        <v>3165</v>
      </c>
      <c r="N604" t="s">
        <v>25</v>
      </c>
      <c r="O604" t="s">
        <v>3149</v>
      </c>
    </row>
    <row r="605" spans="1:15" x14ac:dyDescent="0.3">
      <c r="A605" t="s">
        <v>1918</v>
      </c>
      <c r="B605">
        <v>6</v>
      </c>
      <c r="C605" s="1">
        <v>44703</v>
      </c>
      <c r="D605" t="s">
        <v>1919</v>
      </c>
      <c r="E605" t="s">
        <v>1920</v>
      </c>
      <c r="F605" t="s">
        <v>15</v>
      </c>
      <c r="G605" t="s">
        <v>95</v>
      </c>
      <c r="H605">
        <v>116</v>
      </c>
      <c r="I605">
        <v>2015</v>
      </c>
      <c r="J605" t="s">
        <v>541</v>
      </c>
      <c r="K605">
        <v>48814</v>
      </c>
      <c r="L605" s="1">
        <v>42285</v>
      </c>
      <c r="M605" s="1" t="s">
        <v>3180</v>
      </c>
      <c r="N605" t="s">
        <v>1921</v>
      </c>
      <c r="O605" t="s">
        <v>3149</v>
      </c>
    </row>
    <row r="606" spans="1:15" x14ac:dyDescent="0.3">
      <c r="A606" t="s">
        <v>1932</v>
      </c>
      <c r="B606">
        <v>7</v>
      </c>
      <c r="C606" s="1">
        <v>44394</v>
      </c>
      <c r="D606" t="s">
        <v>1933</v>
      </c>
      <c r="E606" t="s">
        <v>1934</v>
      </c>
      <c r="F606" t="s">
        <v>15</v>
      </c>
      <c r="G606" t="s">
        <v>95</v>
      </c>
      <c r="H606">
        <v>92</v>
      </c>
      <c r="I606">
        <v>2015</v>
      </c>
      <c r="J606" t="s">
        <v>159</v>
      </c>
      <c r="K606">
        <v>292534</v>
      </c>
      <c r="L606" s="1">
        <v>42027</v>
      </c>
      <c r="M606" s="1" t="s">
        <v>3165</v>
      </c>
      <c r="N606" t="s">
        <v>1935</v>
      </c>
      <c r="O606" t="s">
        <v>3149</v>
      </c>
    </row>
    <row r="607" spans="1:15" x14ac:dyDescent="0.3">
      <c r="A607" t="s">
        <v>1936</v>
      </c>
      <c r="B607">
        <v>6</v>
      </c>
      <c r="C607" s="1">
        <v>44891</v>
      </c>
      <c r="D607" t="s">
        <v>1937</v>
      </c>
      <c r="E607" t="s">
        <v>1938</v>
      </c>
      <c r="F607" t="s">
        <v>15</v>
      </c>
      <c r="G607" t="s">
        <v>67</v>
      </c>
      <c r="H607">
        <v>121</v>
      </c>
      <c r="I607">
        <v>2022</v>
      </c>
      <c r="J607" t="s">
        <v>1432</v>
      </c>
      <c r="K607">
        <v>76763</v>
      </c>
      <c r="L607" s="1">
        <v>44815</v>
      </c>
      <c r="M607" s="1" t="s">
        <v>3165</v>
      </c>
      <c r="N607" t="s">
        <v>1939</v>
      </c>
      <c r="O607" t="s">
        <v>3149</v>
      </c>
    </row>
    <row r="608" spans="1:15" x14ac:dyDescent="0.3">
      <c r="A608" t="s">
        <v>1953</v>
      </c>
      <c r="B608">
        <v>6</v>
      </c>
      <c r="C608" s="1">
        <v>45177</v>
      </c>
      <c r="D608" t="s">
        <v>1954</v>
      </c>
      <c r="E608" t="s">
        <v>1955</v>
      </c>
      <c r="F608" t="s">
        <v>15</v>
      </c>
      <c r="G608" t="s">
        <v>198</v>
      </c>
      <c r="H608">
        <v>99</v>
      </c>
      <c r="I608">
        <v>2016</v>
      </c>
      <c r="J608" t="s">
        <v>335</v>
      </c>
      <c r="K608">
        <v>33585</v>
      </c>
      <c r="L608" s="1">
        <v>42468</v>
      </c>
      <c r="M608" s="1" t="s">
        <v>3159</v>
      </c>
      <c r="N608" t="s">
        <v>457</v>
      </c>
      <c r="O608" t="s">
        <v>3149</v>
      </c>
    </row>
    <row r="609" spans="1:15" x14ac:dyDescent="0.3">
      <c r="A609" t="s">
        <v>1956</v>
      </c>
      <c r="B609">
        <v>7</v>
      </c>
      <c r="C609" s="1">
        <v>44637</v>
      </c>
      <c r="D609" t="s">
        <v>1957</v>
      </c>
      <c r="E609" t="s">
        <v>1958</v>
      </c>
      <c r="F609" t="s">
        <v>15</v>
      </c>
      <c r="G609" t="s">
        <v>41</v>
      </c>
      <c r="H609">
        <v>97</v>
      </c>
      <c r="I609">
        <v>2019</v>
      </c>
      <c r="J609" t="s">
        <v>1959</v>
      </c>
      <c r="K609">
        <v>99742</v>
      </c>
      <c r="L609" s="1">
        <v>43533</v>
      </c>
      <c r="M609" s="1" t="s">
        <v>3165</v>
      </c>
      <c r="N609" t="s">
        <v>1960</v>
      </c>
      <c r="O609" t="s">
        <v>3149</v>
      </c>
    </row>
    <row r="610" spans="1:15" x14ac:dyDescent="0.3">
      <c r="A610" t="s">
        <v>1961</v>
      </c>
      <c r="B610">
        <v>7</v>
      </c>
      <c r="C610" s="1">
        <v>44716</v>
      </c>
      <c r="D610" t="s">
        <v>1962</v>
      </c>
      <c r="E610" t="s">
        <v>1963</v>
      </c>
      <c r="F610" t="s">
        <v>551</v>
      </c>
      <c r="G610" t="s">
        <v>61</v>
      </c>
      <c r="H610">
        <v>66</v>
      </c>
      <c r="I610">
        <v>2015</v>
      </c>
      <c r="J610" t="s">
        <v>235</v>
      </c>
      <c r="K610">
        <v>6928</v>
      </c>
      <c r="L610" s="1">
        <v>42031</v>
      </c>
      <c r="M610" s="1" t="s">
        <v>3165</v>
      </c>
      <c r="N610" t="s">
        <v>552</v>
      </c>
      <c r="O610" t="s">
        <v>3149</v>
      </c>
    </row>
    <row r="611" spans="1:15" x14ac:dyDescent="0.3">
      <c r="A611" t="s">
        <v>1964</v>
      </c>
      <c r="B611">
        <v>9</v>
      </c>
      <c r="C611" s="1">
        <v>45288</v>
      </c>
      <c r="D611" t="s">
        <v>1965</v>
      </c>
      <c r="E611" t="s">
        <v>1966</v>
      </c>
      <c r="F611" t="s">
        <v>216</v>
      </c>
      <c r="G611" t="s">
        <v>927</v>
      </c>
      <c r="H611">
        <f>45*40</f>
        <v>1800</v>
      </c>
      <c r="I611">
        <v>2017</v>
      </c>
      <c r="J611" t="s">
        <v>123</v>
      </c>
      <c r="K611">
        <v>28998</v>
      </c>
      <c r="L611" s="1">
        <v>43008</v>
      </c>
      <c r="M611" s="1" t="s">
        <v>3180</v>
      </c>
      <c r="N611" t="s">
        <v>3220</v>
      </c>
      <c r="O611" t="s">
        <v>3149</v>
      </c>
    </row>
    <row r="612" spans="1:15" x14ac:dyDescent="0.3">
      <c r="A612" t="s">
        <v>1967</v>
      </c>
      <c r="B612">
        <v>6</v>
      </c>
      <c r="C612" s="1">
        <v>44925</v>
      </c>
      <c r="D612" t="s">
        <v>1968</v>
      </c>
      <c r="E612" t="s">
        <v>1969</v>
      </c>
      <c r="F612" t="s">
        <v>15</v>
      </c>
      <c r="G612" t="s">
        <v>1170</v>
      </c>
      <c r="H612">
        <v>83</v>
      </c>
      <c r="I612">
        <v>2018</v>
      </c>
      <c r="J612" t="s">
        <v>1970</v>
      </c>
      <c r="K612">
        <v>1124</v>
      </c>
      <c r="L612" s="1">
        <v>43120</v>
      </c>
      <c r="M612" s="1" t="s">
        <v>3171</v>
      </c>
      <c r="N612" t="s">
        <v>1971</v>
      </c>
      <c r="O612" t="s">
        <v>3175</v>
      </c>
    </row>
    <row r="613" spans="1:15" x14ac:dyDescent="0.3">
      <c r="A613" t="s">
        <v>1972</v>
      </c>
      <c r="B613">
        <v>7</v>
      </c>
      <c r="C613" s="1">
        <v>44993</v>
      </c>
      <c r="D613" s="3" t="s">
        <v>1973</v>
      </c>
      <c r="E613" t="s">
        <v>1974</v>
      </c>
      <c r="F613" t="s">
        <v>15</v>
      </c>
      <c r="G613" t="s">
        <v>16</v>
      </c>
      <c r="H613">
        <v>119</v>
      </c>
      <c r="I613">
        <v>2016</v>
      </c>
      <c r="J613" t="s">
        <v>261</v>
      </c>
      <c r="K613">
        <v>48656</v>
      </c>
      <c r="L613" s="1">
        <v>42651</v>
      </c>
      <c r="M613" s="1" t="s">
        <v>3165</v>
      </c>
      <c r="N613" t="s">
        <v>307</v>
      </c>
      <c r="O613" t="s">
        <v>3149</v>
      </c>
    </row>
    <row r="614" spans="1:15" x14ac:dyDescent="0.3">
      <c r="A614" t="s">
        <v>1997</v>
      </c>
      <c r="B614">
        <v>5</v>
      </c>
      <c r="C614" s="1">
        <v>44911</v>
      </c>
      <c r="D614" t="s">
        <v>1998</v>
      </c>
      <c r="E614" t="s">
        <v>1999</v>
      </c>
      <c r="F614" t="s">
        <v>15</v>
      </c>
      <c r="G614" t="s">
        <v>524</v>
      </c>
      <c r="H614">
        <v>96</v>
      </c>
      <c r="I614">
        <v>2016</v>
      </c>
      <c r="J614" t="s">
        <v>17</v>
      </c>
      <c r="K614">
        <v>80491</v>
      </c>
      <c r="L614" s="1">
        <v>42501</v>
      </c>
      <c r="M614" s="1" t="s">
        <v>3165</v>
      </c>
      <c r="N614" t="s">
        <v>977</v>
      </c>
      <c r="O614" t="s">
        <v>3149</v>
      </c>
    </row>
    <row r="615" spans="1:15" x14ac:dyDescent="0.3">
      <c r="A615" t="s">
        <v>2000</v>
      </c>
      <c r="B615">
        <v>9</v>
      </c>
      <c r="C615" s="1">
        <v>44246</v>
      </c>
      <c r="D615" t="s">
        <v>2001</v>
      </c>
      <c r="E615" t="s">
        <v>2002</v>
      </c>
      <c r="F615" t="s">
        <v>15</v>
      </c>
      <c r="G615" t="s">
        <v>56</v>
      </c>
      <c r="H615">
        <v>116</v>
      </c>
      <c r="I615">
        <v>2016</v>
      </c>
      <c r="J615" t="s">
        <v>117</v>
      </c>
      <c r="K615">
        <v>299149</v>
      </c>
      <c r="L615" s="1">
        <v>42615</v>
      </c>
      <c r="M615" s="1" t="s">
        <v>3165</v>
      </c>
      <c r="N615" t="s">
        <v>2003</v>
      </c>
      <c r="O615" t="s">
        <v>3149</v>
      </c>
    </row>
    <row r="616" spans="1:15" x14ac:dyDescent="0.3">
      <c r="A616" t="s">
        <v>2009</v>
      </c>
      <c r="B616">
        <v>9</v>
      </c>
      <c r="C616" s="1">
        <v>43480</v>
      </c>
      <c r="D616" t="s">
        <v>2010</v>
      </c>
      <c r="E616" t="s">
        <v>2011</v>
      </c>
      <c r="F616" t="s">
        <v>216</v>
      </c>
      <c r="G616" t="s">
        <v>1409</v>
      </c>
      <c r="H616">
        <v>51</v>
      </c>
      <c r="I616">
        <v>2016</v>
      </c>
      <c r="J616" t="s">
        <v>1492</v>
      </c>
      <c r="K616">
        <v>1301772</v>
      </c>
      <c r="L616" s="1">
        <v>42562</v>
      </c>
      <c r="M616" s="1" t="s">
        <v>3165</v>
      </c>
      <c r="N616" t="s">
        <v>3195</v>
      </c>
      <c r="O616" t="s">
        <v>3149</v>
      </c>
    </row>
    <row r="617" spans="1:15" x14ac:dyDescent="0.3">
      <c r="A617" t="s">
        <v>2025</v>
      </c>
      <c r="B617">
        <v>6</v>
      </c>
      <c r="C617" s="1">
        <v>44840</v>
      </c>
      <c r="D617" t="s">
        <v>2026</v>
      </c>
      <c r="E617" t="s">
        <v>2027</v>
      </c>
      <c r="F617" t="s">
        <v>15</v>
      </c>
      <c r="G617" t="s">
        <v>67</v>
      </c>
      <c r="H617">
        <v>97</v>
      </c>
      <c r="I617">
        <v>2016</v>
      </c>
      <c r="J617" t="s">
        <v>24</v>
      </c>
      <c r="K617">
        <v>24920</v>
      </c>
      <c r="L617" s="1">
        <v>42509</v>
      </c>
      <c r="M617" s="1" t="s">
        <v>3155</v>
      </c>
      <c r="N617" t="s">
        <v>968</v>
      </c>
      <c r="O617" t="s">
        <v>3149</v>
      </c>
    </row>
    <row r="618" spans="1:15" x14ac:dyDescent="0.3">
      <c r="A618" t="s">
        <v>2028</v>
      </c>
      <c r="B618">
        <v>9</v>
      </c>
      <c r="C618" s="1">
        <v>43941</v>
      </c>
      <c r="D618" t="s">
        <v>2029</v>
      </c>
      <c r="E618" t="s">
        <v>2030</v>
      </c>
      <c r="F618" t="s">
        <v>15</v>
      </c>
      <c r="G618" t="s">
        <v>79</v>
      </c>
      <c r="H618">
        <v>107</v>
      </c>
      <c r="I618">
        <v>2017</v>
      </c>
      <c r="J618" t="s">
        <v>220</v>
      </c>
      <c r="K618">
        <v>111180</v>
      </c>
      <c r="L618" s="1">
        <v>42986</v>
      </c>
      <c r="M618" s="1" t="s">
        <v>3171</v>
      </c>
      <c r="N618" t="s">
        <v>2031</v>
      </c>
      <c r="O618" t="s">
        <v>3149</v>
      </c>
    </row>
    <row r="619" spans="1:15" x14ac:dyDescent="0.3">
      <c r="A619" t="s">
        <v>2032</v>
      </c>
      <c r="B619">
        <v>6</v>
      </c>
      <c r="C619" s="1">
        <v>43821</v>
      </c>
      <c r="D619" t="s">
        <v>2033</v>
      </c>
      <c r="E619" t="s">
        <v>2034</v>
      </c>
      <c r="F619" t="s">
        <v>15</v>
      </c>
      <c r="G619" t="s">
        <v>2035</v>
      </c>
      <c r="H619">
        <v>94</v>
      </c>
      <c r="I619">
        <v>2017</v>
      </c>
      <c r="J619" t="s">
        <v>2036</v>
      </c>
      <c r="K619">
        <v>20699</v>
      </c>
      <c r="L619" s="1">
        <v>42894</v>
      </c>
      <c r="M619" s="1" t="s">
        <v>3165</v>
      </c>
      <c r="N619" t="s">
        <v>2037</v>
      </c>
      <c r="O619" t="s">
        <v>3149</v>
      </c>
    </row>
    <row r="620" spans="1:15" x14ac:dyDescent="0.3">
      <c r="A620" t="s">
        <v>2038</v>
      </c>
      <c r="B620">
        <v>8</v>
      </c>
      <c r="C620" s="1">
        <v>44635</v>
      </c>
      <c r="D620" t="s">
        <v>2039</v>
      </c>
      <c r="E620" t="s">
        <v>2040</v>
      </c>
      <c r="F620" t="s">
        <v>15</v>
      </c>
      <c r="G620" t="s">
        <v>61</v>
      </c>
      <c r="H620">
        <v>101</v>
      </c>
      <c r="I620">
        <v>2016</v>
      </c>
      <c r="J620" t="s">
        <v>1959</v>
      </c>
      <c r="K620">
        <v>139295</v>
      </c>
      <c r="L620" s="1">
        <v>42391</v>
      </c>
      <c r="M620" s="1" t="s">
        <v>3173</v>
      </c>
      <c r="N620" t="s">
        <v>1474</v>
      </c>
      <c r="O620" t="s">
        <v>3149</v>
      </c>
    </row>
    <row r="621" spans="1:15" x14ac:dyDescent="0.3">
      <c r="A621" t="s">
        <v>2047</v>
      </c>
      <c r="B621">
        <v>6</v>
      </c>
      <c r="C621" s="1">
        <v>45264</v>
      </c>
      <c r="D621" t="s">
        <v>2048</v>
      </c>
      <c r="E621" t="s">
        <v>2049</v>
      </c>
      <c r="F621" t="s">
        <v>15</v>
      </c>
      <c r="G621" t="s">
        <v>369</v>
      </c>
      <c r="H621">
        <v>96</v>
      </c>
      <c r="I621">
        <v>2019</v>
      </c>
      <c r="J621" t="s">
        <v>1826</v>
      </c>
      <c r="K621">
        <v>182811</v>
      </c>
      <c r="L621" s="1">
        <v>43777</v>
      </c>
      <c r="M621" s="1" t="s">
        <v>3159</v>
      </c>
      <c r="N621" t="s">
        <v>2050</v>
      </c>
      <c r="O621" t="s">
        <v>3149</v>
      </c>
    </row>
    <row r="622" spans="1:15" x14ac:dyDescent="0.3">
      <c r="A622" t="s">
        <v>2051</v>
      </c>
      <c r="B622">
        <v>7</v>
      </c>
      <c r="C622" s="1">
        <v>44950</v>
      </c>
      <c r="D622" t="s">
        <v>2052</v>
      </c>
      <c r="E622" t="s">
        <v>2053</v>
      </c>
      <c r="F622" t="s">
        <v>15</v>
      </c>
      <c r="G622" t="s">
        <v>346</v>
      </c>
      <c r="H622">
        <v>146</v>
      </c>
      <c r="I622">
        <v>2016</v>
      </c>
      <c r="J622" t="s">
        <v>1492</v>
      </c>
      <c r="K622">
        <v>107713</v>
      </c>
      <c r="L622" s="1">
        <v>42714</v>
      </c>
      <c r="M622" s="1" t="s">
        <v>3165</v>
      </c>
      <c r="N622" t="s">
        <v>2054</v>
      </c>
      <c r="O622" t="s">
        <v>3149</v>
      </c>
    </row>
    <row r="623" spans="1:15" x14ac:dyDescent="0.3">
      <c r="A623" t="s">
        <v>2062</v>
      </c>
      <c r="B623">
        <v>8</v>
      </c>
      <c r="C623" s="1">
        <v>44319</v>
      </c>
      <c r="D623" t="s">
        <v>2063</v>
      </c>
      <c r="E623" t="s">
        <v>2064</v>
      </c>
      <c r="F623" t="s">
        <v>15</v>
      </c>
      <c r="G623" t="s">
        <v>16</v>
      </c>
      <c r="H623">
        <v>102</v>
      </c>
      <c r="I623">
        <v>2017</v>
      </c>
      <c r="J623" t="s">
        <v>123</v>
      </c>
      <c r="K623">
        <v>136397</v>
      </c>
      <c r="L623" s="1">
        <v>42880</v>
      </c>
      <c r="M623" s="1" t="s">
        <v>3165</v>
      </c>
      <c r="N623" t="s">
        <v>2065</v>
      </c>
      <c r="O623" t="s">
        <v>3149</v>
      </c>
    </row>
    <row r="624" spans="1:15" x14ac:dyDescent="0.3">
      <c r="A624" t="s">
        <v>2066</v>
      </c>
      <c r="B624">
        <v>7</v>
      </c>
      <c r="C624" s="1">
        <v>45229</v>
      </c>
      <c r="D624" t="s">
        <v>2067</v>
      </c>
      <c r="E624" t="s">
        <v>2068</v>
      </c>
      <c r="F624" t="s">
        <v>15</v>
      </c>
      <c r="G624" t="s">
        <v>61</v>
      </c>
      <c r="H624">
        <v>127</v>
      </c>
      <c r="I624">
        <v>2016</v>
      </c>
      <c r="J624" t="s">
        <v>230</v>
      </c>
      <c r="K624">
        <v>249871</v>
      </c>
      <c r="L624" s="1">
        <v>42705</v>
      </c>
      <c r="M624" s="1" t="s">
        <v>3165</v>
      </c>
      <c r="N624" t="s">
        <v>2069</v>
      </c>
      <c r="O624" t="s">
        <v>3149</v>
      </c>
    </row>
    <row r="625" spans="1:15" x14ac:dyDescent="0.3">
      <c r="A625" t="s">
        <v>2073</v>
      </c>
      <c r="B625">
        <v>6</v>
      </c>
      <c r="C625" s="1">
        <v>44854</v>
      </c>
      <c r="D625" t="s">
        <v>2074</v>
      </c>
      <c r="E625" t="s">
        <v>2075</v>
      </c>
      <c r="F625" t="s">
        <v>216</v>
      </c>
      <c r="G625" t="s">
        <v>95</v>
      </c>
      <c r="H625">
        <v>270</v>
      </c>
      <c r="I625">
        <v>2015</v>
      </c>
      <c r="J625" t="s">
        <v>230</v>
      </c>
      <c r="K625">
        <v>4637</v>
      </c>
      <c r="L625" s="1">
        <v>42308</v>
      </c>
      <c r="M625" s="1" t="s">
        <v>3165</v>
      </c>
      <c r="N625" t="s">
        <v>3183</v>
      </c>
    </row>
    <row r="626" spans="1:15" x14ac:dyDescent="0.3">
      <c r="A626" t="s">
        <v>2080</v>
      </c>
      <c r="B626">
        <v>8</v>
      </c>
      <c r="C626" s="1">
        <v>44204</v>
      </c>
      <c r="D626" t="s">
        <v>2081</v>
      </c>
      <c r="E626" t="s">
        <v>2082</v>
      </c>
      <c r="F626" t="s">
        <v>15</v>
      </c>
      <c r="G626" t="s">
        <v>148</v>
      </c>
      <c r="H626">
        <v>94</v>
      </c>
      <c r="I626">
        <v>2017</v>
      </c>
      <c r="J626" t="s">
        <v>261</v>
      </c>
      <c r="K626">
        <v>319340</v>
      </c>
      <c r="L626" s="1">
        <v>42979</v>
      </c>
      <c r="M626" s="1" t="s">
        <v>3165</v>
      </c>
      <c r="N626" t="s">
        <v>902</v>
      </c>
      <c r="O626" t="s">
        <v>3175</v>
      </c>
    </row>
    <row r="627" spans="1:15" x14ac:dyDescent="0.3">
      <c r="A627" t="s">
        <v>2104</v>
      </c>
      <c r="B627">
        <v>7</v>
      </c>
      <c r="C627" s="1">
        <v>44149</v>
      </c>
      <c r="D627" t="s">
        <v>2105</v>
      </c>
      <c r="E627" t="s">
        <v>2106</v>
      </c>
      <c r="F627" t="s">
        <v>15</v>
      </c>
      <c r="G627" t="s">
        <v>61</v>
      </c>
      <c r="H627">
        <v>106</v>
      </c>
      <c r="I627">
        <v>2017</v>
      </c>
      <c r="J627" t="s">
        <v>2107</v>
      </c>
      <c r="K627">
        <v>722586</v>
      </c>
      <c r="L627" s="1">
        <v>42929</v>
      </c>
      <c r="M627" s="1" t="s">
        <v>3171</v>
      </c>
      <c r="N627" t="s">
        <v>756</v>
      </c>
      <c r="O627" t="s">
        <v>3149</v>
      </c>
    </row>
    <row r="628" spans="1:15" x14ac:dyDescent="0.3">
      <c r="A628" t="s">
        <v>2108</v>
      </c>
      <c r="B628">
        <v>10</v>
      </c>
      <c r="C628" s="1">
        <v>43958</v>
      </c>
      <c r="D628" t="s">
        <v>2109</v>
      </c>
      <c r="E628" t="s">
        <v>2110</v>
      </c>
      <c r="F628" t="s">
        <v>15</v>
      </c>
      <c r="G628" t="s">
        <v>334</v>
      </c>
      <c r="H628">
        <v>115</v>
      </c>
      <c r="I628">
        <v>2017</v>
      </c>
      <c r="J628" t="s">
        <v>1822</v>
      </c>
      <c r="K628">
        <v>544282</v>
      </c>
      <c r="L628" s="1">
        <v>42982</v>
      </c>
      <c r="M628" s="1" t="s">
        <v>3165</v>
      </c>
      <c r="N628" t="s">
        <v>496</v>
      </c>
      <c r="O628" t="s">
        <v>3149</v>
      </c>
    </row>
    <row r="629" spans="1:15" x14ac:dyDescent="0.3">
      <c r="A629" t="s">
        <v>2111</v>
      </c>
      <c r="B629">
        <v>6</v>
      </c>
      <c r="C629" s="1">
        <v>45069</v>
      </c>
      <c r="D629" t="s">
        <v>2112</v>
      </c>
      <c r="E629" t="s">
        <v>2113</v>
      </c>
      <c r="F629" t="s">
        <v>15</v>
      </c>
      <c r="G629" t="s">
        <v>79</v>
      </c>
      <c r="H629">
        <v>102</v>
      </c>
      <c r="I629">
        <v>2016</v>
      </c>
      <c r="J629" t="s">
        <v>261</v>
      </c>
      <c r="K629">
        <v>3786</v>
      </c>
      <c r="L629" s="1">
        <v>42555</v>
      </c>
      <c r="M629" s="1" t="s">
        <v>3185</v>
      </c>
      <c r="N629" t="s">
        <v>2114</v>
      </c>
      <c r="O629" t="s">
        <v>3149</v>
      </c>
    </row>
    <row r="630" spans="1:15" ht="15" customHeight="1" x14ac:dyDescent="0.3">
      <c r="A630" t="s">
        <v>2119</v>
      </c>
      <c r="B630">
        <v>7</v>
      </c>
      <c r="C630" s="1">
        <v>44645</v>
      </c>
      <c r="D630" t="s">
        <v>2120</v>
      </c>
      <c r="E630" t="s">
        <v>2121</v>
      </c>
      <c r="F630" t="s">
        <v>15</v>
      </c>
      <c r="G630" t="s">
        <v>56</v>
      </c>
      <c r="H630">
        <v>119</v>
      </c>
      <c r="I630">
        <v>2018</v>
      </c>
      <c r="J630" t="s">
        <v>1320</v>
      </c>
      <c r="K630">
        <v>216767</v>
      </c>
      <c r="L630" s="1">
        <v>43342</v>
      </c>
      <c r="M630" s="1" t="s">
        <v>3176</v>
      </c>
      <c r="N630" t="s">
        <v>1727</v>
      </c>
      <c r="O630" t="s">
        <v>3149</v>
      </c>
    </row>
    <row r="631" spans="1:15" x14ac:dyDescent="0.3">
      <c r="A631" t="s">
        <v>2122</v>
      </c>
      <c r="B631">
        <v>9</v>
      </c>
      <c r="C631" s="1">
        <v>43571</v>
      </c>
      <c r="D631" t="s">
        <v>2123</v>
      </c>
      <c r="E631" t="s">
        <v>2124</v>
      </c>
      <c r="F631" t="s">
        <v>15</v>
      </c>
      <c r="G631" t="s">
        <v>79</v>
      </c>
      <c r="H631">
        <v>133</v>
      </c>
      <c r="I631">
        <v>2017</v>
      </c>
      <c r="J631" t="s">
        <v>2125</v>
      </c>
      <c r="K631">
        <v>83533</v>
      </c>
      <c r="L631" s="1">
        <v>42985</v>
      </c>
      <c r="M631" s="1" t="s">
        <v>3165</v>
      </c>
      <c r="N631" t="s">
        <v>2126</v>
      </c>
      <c r="O631" t="s">
        <v>3149</v>
      </c>
    </row>
    <row r="632" spans="1:15" x14ac:dyDescent="0.3">
      <c r="A632" t="s">
        <v>2127</v>
      </c>
      <c r="B632">
        <v>6</v>
      </c>
      <c r="C632" s="1">
        <v>45261</v>
      </c>
      <c r="D632" t="s">
        <v>2128</v>
      </c>
      <c r="E632" t="s">
        <v>2129</v>
      </c>
      <c r="F632" t="s">
        <v>15</v>
      </c>
      <c r="G632" t="s">
        <v>524</v>
      </c>
      <c r="H632">
        <v>121</v>
      </c>
      <c r="I632">
        <v>2017</v>
      </c>
      <c r="J632" t="s">
        <v>153</v>
      </c>
      <c r="K632">
        <v>245162</v>
      </c>
      <c r="L632" s="1">
        <v>42983</v>
      </c>
      <c r="M632" s="1" t="s">
        <v>3165</v>
      </c>
      <c r="N632" t="s">
        <v>760</v>
      </c>
      <c r="O632" t="s">
        <v>3149</v>
      </c>
    </row>
    <row r="633" spans="1:15" x14ac:dyDescent="0.3">
      <c r="A633" t="s">
        <v>2130</v>
      </c>
      <c r="B633">
        <v>9</v>
      </c>
      <c r="C633" s="1">
        <v>43422</v>
      </c>
      <c r="D633" t="s">
        <v>2131</v>
      </c>
      <c r="E633" t="s">
        <v>2132</v>
      </c>
      <c r="F633" t="s">
        <v>15</v>
      </c>
      <c r="G633" t="s">
        <v>105</v>
      </c>
      <c r="H633">
        <v>96</v>
      </c>
      <c r="I633">
        <v>2016</v>
      </c>
      <c r="J633" t="s">
        <v>409</v>
      </c>
      <c r="K633">
        <v>11561</v>
      </c>
      <c r="L633" s="1">
        <v>42643</v>
      </c>
      <c r="M633" s="1" t="s">
        <v>3165</v>
      </c>
      <c r="N633" t="s">
        <v>2133</v>
      </c>
      <c r="O633" t="s">
        <v>3175</v>
      </c>
    </row>
    <row r="634" spans="1:15" x14ac:dyDescent="0.3">
      <c r="A634" t="s">
        <v>2134</v>
      </c>
      <c r="B634">
        <v>7</v>
      </c>
      <c r="C634" s="1">
        <v>45208</v>
      </c>
      <c r="D634" t="s">
        <v>2135</v>
      </c>
      <c r="E634" t="s">
        <v>2136</v>
      </c>
      <c r="F634" t="s">
        <v>15</v>
      </c>
      <c r="G634" t="s">
        <v>95</v>
      </c>
      <c r="H634">
        <v>98</v>
      </c>
      <c r="I634">
        <v>2016</v>
      </c>
      <c r="J634" t="s">
        <v>230</v>
      </c>
      <c r="K634">
        <v>3297</v>
      </c>
      <c r="L634" s="1">
        <v>42623</v>
      </c>
      <c r="M634" s="1" t="s">
        <v>3166</v>
      </c>
      <c r="N634" t="s">
        <v>2137</v>
      </c>
      <c r="O634" t="s">
        <v>3149</v>
      </c>
    </row>
    <row r="635" spans="1:15" x14ac:dyDescent="0.3">
      <c r="A635" t="s">
        <v>2138</v>
      </c>
      <c r="B635">
        <v>9</v>
      </c>
      <c r="C635" s="1">
        <v>44253</v>
      </c>
      <c r="D635" t="s">
        <v>2139</v>
      </c>
      <c r="E635" t="s">
        <v>2140</v>
      </c>
      <c r="F635" t="s">
        <v>551</v>
      </c>
      <c r="G635" t="s">
        <v>187</v>
      </c>
      <c r="H635">
        <v>60</v>
      </c>
      <c r="I635">
        <v>2016</v>
      </c>
      <c r="J635" t="s">
        <v>1659</v>
      </c>
      <c r="K635">
        <v>16249</v>
      </c>
      <c r="L635" s="1">
        <v>42524</v>
      </c>
      <c r="M635" s="1" t="s">
        <v>3165</v>
      </c>
      <c r="N635" t="s">
        <v>1660</v>
      </c>
      <c r="O635" t="s">
        <v>3149</v>
      </c>
    </row>
    <row r="636" spans="1:15" x14ac:dyDescent="0.3">
      <c r="A636" t="s">
        <v>2144</v>
      </c>
      <c r="B636">
        <v>8</v>
      </c>
      <c r="C636" s="1">
        <v>43932</v>
      </c>
      <c r="D636" t="s">
        <v>2145</v>
      </c>
      <c r="E636" t="s">
        <v>2146</v>
      </c>
      <c r="F636" t="s">
        <v>15</v>
      </c>
      <c r="G636" t="s">
        <v>61</v>
      </c>
      <c r="H636">
        <v>56</v>
      </c>
      <c r="I636">
        <v>2015</v>
      </c>
      <c r="J636" t="s">
        <v>96</v>
      </c>
      <c r="K636">
        <v>7</v>
      </c>
      <c r="L636" s="1">
        <v>42086</v>
      </c>
      <c r="M636" s="1" t="s">
        <v>3154</v>
      </c>
      <c r="N636" t="s">
        <v>2147</v>
      </c>
      <c r="O636" t="s">
        <v>3149</v>
      </c>
    </row>
    <row r="637" spans="1:15" x14ac:dyDescent="0.3">
      <c r="A637" t="s">
        <v>2148</v>
      </c>
      <c r="B637">
        <v>7</v>
      </c>
      <c r="C637" s="1">
        <v>44813</v>
      </c>
      <c r="D637" t="s">
        <v>2149</v>
      </c>
      <c r="E637" t="s">
        <v>2150</v>
      </c>
      <c r="F637" t="s">
        <v>15</v>
      </c>
      <c r="G637" t="s">
        <v>16</v>
      </c>
      <c r="H637">
        <v>118</v>
      </c>
      <c r="I637">
        <v>2016</v>
      </c>
      <c r="J637" t="s">
        <v>17</v>
      </c>
      <c r="K637">
        <v>87581</v>
      </c>
      <c r="L637" s="1">
        <v>42506</v>
      </c>
      <c r="M637" s="1" t="s">
        <v>3165</v>
      </c>
      <c r="N637" t="s">
        <v>1082</v>
      </c>
      <c r="O637" t="s">
        <v>3149</v>
      </c>
    </row>
    <row r="638" spans="1:15" x14ac:dyDescent="0.3">
      <c r="A638" t="s">
        <v>2151</v>
      </c>
      <c r="B638">
        <v>7</v>
      </c>
      <c r="C638" s="1">
        <v>45149</v>
      </c>
      <c r="D638" t="s">
        <v>2152</v>
      </c>
      <c r="E638" t="s">
        <v>2153</v>
      </c>
      <c r="F638" t="s">
        <v>15</v>
      </c>
      <c r="G638" t="s">
        <v>116</v>
      </c>
      <c r="H638">
        <v>92</v>
      </c>
      <c r="I638">
        <v>2015</v>
      </c>
      <c r="J638" t="s">
        <v>2154</v>
      </c>
      <c r="K638">
        <v>9553</v>
      </c>
      <c r="L638" s="1">
        <v>42354</v>
      </c>
      <c r="M638" s="1" t="s">
        <v>3166</v>
      </c>
      <c r="N638" t="s">
        <v>2155</v>
      </c>
      <c r="O638" t="s">
        <v>3175</v>
      </c>
    </row>
    <row r="639" spans="1:15" x14ac:dyDescent="0.3">
      <c r="A639" t="s">
        <v>2172</v>
      </c>
      <c r="B639">
        <v>8</v>
      </c>
      <c r="C639" s="1">
        <v>44324</v>
      </c>
      <c r="D639" t="s">
        <v>2173</v>
      </c>
      <c r="E639" t="s">
        <v>2174</v>
      </c>
      <c r="F639" t="s">
        <v>15</v>
      </c>
      <c r="G639" t="s">
        <v>84</v>
      </c>
      <c r="H639">
        <v>120</v>
      </c>
      <c r="I639">
        <v>2019</v>
      </c>
      <c r="J639" t="s">
        <v>556</v>
      </c>
      <c r="K639">
        <v>145767</v>
      </c>
      <c r="L639" s="1">
        <v>43714</v>
      </c>
      <c r="M639" s="1" t="s">
        <v>3165</v>
      </c>
      <c r="N639" t="s">
        <v>2175</v>
      </c>
      <c r="O639" t="s">
        <v>3149</v>
      </c>
    </row>
    <row r="640" spans="1:15" x14ac:dyDescent="0.3">
      <c r="A640" t="s">
        <v>2187</v>
      </c>
      <c r="B640">
        <v>6</v>
      </c>
      <c r="C640" s="1">
        <v>44876</v>
      </c>
      <c r="D640" t="s">
        <v>2188</v>
      </c>
      <c r="E640" t="s">
        <v>2189</v>
      </c>
      <c r="F640" t="s">
        <v>15</v>
      </c>
      <c r="G640" t="s">
        <v>158</v>
      </c>
      <c r="H640">
        <v>111</v>
      </c>
      <c r="I640">
        <v>2018</v>
      </c>
      <c r="J640" t="s">
        <v>1850</v>
      </c>
      <c r="K640">
        <v>26074</v>
      </c>
      <c r="L640" s="1">
        <v>43120</v>
      </c>
      <c r="M640" s="1" t="s">
        <v>3165</v>
      </c>
      <c r="N640" t="s">
        <v>2190</v>
      </c>
      <c r="O640" t="s">
        <v>3149</v>
      </c>
    </row>
    <row r="641" spans="1:15" x14ac:dyDescent="0.3">
      <c r="A641" t="s">
        <v>2191</v>
      </c>
      <c r="B641">
        <v>5</v>
      </c>
      <c r="C641" s="1">
        <v>44843</v>
      </c>
      <c r="D641" t="s">
        <v>2192</v>
      </c>
      <c r="E641" t="s">
        <v>2193</v>
      </c>
      <c r="F641" t="s">
        <v>15</v>
      </c>
      <c r="G641" t="s">
        <v>524</v>
      </c>
      <c r="H641">
        <v>96</v>
      </c>
      <c r="I641">
        <v>2016</v>
      </c>
      <c r="J641" t="s">
        <v>96</v>
      </c>
      <c r="K641">
        <v>231</v>
      </c>
      <c r="L641" s="1">
        <v>42414</v>
      </c>
      <c r="M641" s="1" t="s">
        <v>3209</v>
      </c>
      <c r="N641" t="s">
        <v>2194</v>
      </c>
      <c r="O641" t="s">
        <v>3149</v>
      </c>
    </row>
    <row r="642" spans="1:15" x14ac:dyDescent="0.3">
      <c r="A642" t="s">
        <v>2199</v>
      </c>
      <c r="B642">
        <v>8</v>
      </c>
      <c r="C642" s="1">
        <v>44455</v>
      </c>
      <c r="D642" t="s">
        <v>2200</v>
      </c>
      <c r="E642" t="s">
        <v>2201</v>
      </c>
      <c r="F642" t="s">
        <v>47</v>
      </c>
      <c r="G642" t="s">
        <v>1170</v>
      </c>
      <c r="H642">
        <v>11</v>
      </c>
      <c r="I642">
        <v>1940</v>
      </c>
      <c r="J642" t="s">
        <v>48</v>
      </c>
      <c r="K642">
        <v>28</v>
      </c>
      <c r="L642" s="1">
        <v>14976</v>
      </c>
      <c r="M642" s="1" t="s">
        <v>3171</v>
      </c>
      <c r="N642" t="s">
        <v>2202</v>
      </c>
      <c r="O642" t="s">
        <v>3175</v>
      </c>
    </row>
    <row r="643" spans="1:15" x14ac:dyDescent="0.3">
      <c r="A643" t="s">
        <v>2203</v>
      </c>
      <c r="B643">
        <v>7</v>
      </c>
      <c r="C643" s="1">
        <v>45270</v>
      </c>
      <c r="D643" t="s">
        <v>2204</v>
      </c>
      <c r="E643" t="s">
        <v>2205</v>
      </c>
      <c r="F643" t="s">
        <v>15</v>
      </c>
      <c r="G643" t="s">
        <v>61</v>
      </c>
      <c r="H643">
        <v>206</v>
      </c>
      <c r="I643">
        <v>2023</v>
      </c>
      <c r="J643" t="s">
        <v>2206</v>
      </c>
      <c r="K643">
        <v>142370</v>
      </c>
      <c r="L643" s="1">
        <v>45066</v>
      </c>
      <c r="M643" s="1" t="s">
        <v>3165</v>
      </c>
      <c r="N643" t="s">
        <v>371</v>
      </c>
      <c r="O643" t="s">
        <v>3149</v>
      </c>
    </row>
    <row r="644" spans="1:15" x14ac:dyDescent="0.3">
      <c r="A644" t="s">
        <v>2207</v>
      </c>
      <c r="B644">
        <v>7</v>
      </c>
      <c r="C644" s="1">
        <v>43582</v>
      </c>
      <c r="D644" t="s">
        <v>2208</v>
      </c>
      <c r="E644" t="s">
        <v>2209</v>
      </c>
      <c r="F644" t="s">
        <v>15</v>
      </c>
      <c r="G644" t="s">
        <v>67</v>
      </c>
      <c r="H644">
        <v>107</v>
      </c>
      <c r="I644">
        <v>2017</v>
      </c>
      <c r="J644" t="s">
        <v>24</v>
      </c>
      <c r="K644">
        <v>53960</v>
      </c>
      <c r="L644" s="1">
        <v>42757</v>
      </c>
      <c r="M644" s="1" t="s">
        <v>3165</v>
      </c>
      <c r="N644" t="s">
        <v>2210</v>
      </c>
      <c r="O644" t="s">
        <v>3149</v>
      </c>
    </row>
    <row r="645" spans="1:15" x14ac:dyDescent="0.3">
      <c r="A645" t="s">
        <v>2214</v>
      </c>
      <c r="B645">
        <v>6</v>
      </c>
      <c r="C645" s="1">
        <v>44735</v>
      </c>
      <c r="D645" t="s">
        <v>2215</v>
      </c>
      <c r="E645" t="s">
        <v>2216</v>
      </c>
      <c r="F645" t="s">
        <v>47</v>
      </c>
      <c r="G645" t="s">
        <v>79</v>
      </c>
      <c r="H645">
        <v>15</v>
      </c>
      <c r="I645">
        <v>2016</v>
      </c>
      <c r="J645" t="s">
        <v>1649</v>
      </c>
      <c r="K645">
        <v>48</v>
      </c>
      <c r="L645" s="1">
        <v>42421</v>
      </c>
      <c r="M645" s="1" t="s">
        <v>3154</v>
      </c>
      <c r="N645" t="s">
        <v>1650</v>
      </c>
      <c r="O645" t="s">
        <v>3149</v>
      </c>
    </row>
    <row r="646" spans="1:15" x14ac:dyDescent="0.3">
      <c r="A646" t="s">
        <v>2217</v>
      </c>
      <c r="B646">
        <v>7</v>
      </c>
      <c r="C646" s="1">
        <v>44920</v>
      </c>
      <c r="D646" t="s">
        <v>2218</v>
      </c>
      <c r="E646" t="s">
        <v>2219</v>
      </c>
      <c r="F646" t="s">
        <v>15</v>
      </c>
      <c r="G646" t="s">
        <v>56</v>
      </c>
      <c r="H646">
        <v>119</v>
      </c>
      <c r="I646">
        <v>2017</v>
      </c>
      <c r="J646" t="s">
        <v>2220</v>
      </c>
      <c r="K646">
        <v>237559</v>
      </c>
      <c r="L646" s="1">
        <v>42986</v>
      </c>
      <c r="M646" s="1" t="s">
        <v>3165</v>
      </c>
      <c r="N646" t="s">
        <v>1665</v>
      </c>
      <c r="O646" t="s">
        <v>3149</v>
      </c>
    </row>
    <row r="647" spans="1:15" x14ac:dyDescent="0.3">
      <c r="A647" t="s">
        <v>2221</v>
      </c>
      <c r="B647">
        <v>6</v>
      </c>
      <c r="C647" s="1">
        <v>45108</v>
      </c>
      <c r="D647" t="s">
        <v>2222</v>
      </c>
      <c r="E647" t="s">
        <v>2223</v>
      </c>
      <c r="F647" t="s">
        <v>15</v>
      </c>
      <c r="G647" t="s">
        <v>16</v>
      </c>
      <c r="H647">
        <v>123</v>
      </c>
      <c r="I647">
        <v>2017</v>
      </c>
      <c r="J647" t="s">
        <v>1028</v>
      </c>
      <c r="K647">
        <v>441695</v>
      </c>
      <c r="L647" s="1">
        <v>42978</v>
      </c>
      <c r="M647" s="1" t="s">
        <v>3165</v>
      </c>
      <c r="N647" t="s">
        <v>2008</v>
      </c>
      <c r="O647" t="s">
        <v>3149</v>
      </c>
    </row>
    <row r="648" spans="1:15" x14ac:dyDescent="0.3">
      <c r="A648" t="s">
        <v>2228</v>
      </c>
      <c r="B648">
        <v>7</v>
      </c>
      <c r="C648" s="1">
        <v>44631</v>
      </c>
      <c r="D648" t="s">
        <v>2229</v>
      </c>
      <c r="E648" t="s">
        <v>2230</v>
      </c>
      <c r="F648" t="s">
        <v>15</v>
      </c>
      <c r="G648" t="s">
        <v>116</v>
      </c>
      <c r="H648">
        <v>93</v>
      </c>
      <c r="I648">
        <v>2017</v>
      </c>
      <c r="J648" t="s">
        <v>952</v>
      </c>
      <c r="K648">
        <v>60906</v>
      </c>
      <c r="L648" s="1">
        <v>42879</v>
      </c>
      <c r="M648" s="1" t="s">
        <v>3165</v>
      </c>
      <c r="N648" t="s">
        <v>796</v>
      </c>
      <c r="O648" t="s">
        <v>3175</v>
      </c>
    </row>
    <row r="649" spans="1:15" x14ac:dyDescent="0.3">
      <c r="A649" t="s">
        <v>2231</v>
      </c>
      <c r="B649">
        <v>6</v>
      </c>
      <c r="C649" s="1">
        <v>45256</v>
      </c>
      <c r="D649" t="s">
        <v>2232</v>
      </c>
      <c r="E649" t="s">
        <v>2233</v>
      </c>
      <c r="F649" t="s">
        <v>15</v>
      </c>
      <c r="G649" t="s">
        <v>16</v>
      </c>
      <c r="H649">
        <v>152</v>
      </c>
      <c r="I649">
        <v>2019</v>
      </c>
      <c r="J649" t="s">
        <v>2234</v>
      </c>
      <c r="K649">
        <v>214161</v>
      </c>
      <c r="L649" s="1">
        <v>43768</v>
      </c>
      <c r="M649" s="1" t="s">
        <v>3165</v>
      </c>
      <c r="N649" t="s">
        <v>2235</v>
      </c>
      <c r="O649" t="s">
        <v>3149</v>
      </c>
    </row>
    <row r="650" spans="1:15" x14ac:dyDescent="0.3">
      <c r="A650" t="s">
        <v>2236</v>
      </c>
      <c r="B650">
        <v>7</v>
      </c>
      <c r="C650" s="1">
        <v>44814</v>
      </c>
      <c r="D650" t="s">
        <v>2237</v>
      </c>
      <c r="E650" t="s">
        <v>2238</v>
      </c>
      <c r="F650" t="s">
        <v>15</v>
      </c>
      <c r="G650" t="s">
        <v>56</v>
      </c>
      <c r="H650">
        <v>116</v>
      </c>
      <c r="I650">
        <v>2017</v>
      </c>
      <c r="J650" t="s">
        <v>2239</v>
      </c>
      <c r="K650">
        <v>29470</v>
      </c>
      <c r="L650" s="1">
        <v>42776</v>
      </c>
      <c r="M650" s="1" t="s">
        <v>3192</v>
      </c>
      <c r="N650" t="s">
        <v>2240</v>
      </c>
      <c r="O650" t="s">
        <v>3175</v>
      </c>
    </row>
    <row r="651" spans="1:15" x14ac:dyDescent="0.3">
      <c r="A651" t="s">
        <v>2241</v>
      </c>
      <c r="B651">
        <v>8</v>
      </c>
      <c r="C651" s="1">
        <v>44636</v>
      </c>
      <c r="D651" t="s">
        <v>2242</v>
      </c>
      <c r="E651" t="s">
        <v>2243</v>
      </c>
      <c r="F651" t="s">
        <v>15</v>
      </c>
      <c r="G651" t="s">
        <v>16</v>
      </c>
      <c r="H651">
        <v>85</v>
      </c>
      <c r="I651">
        <v>2018</v>
      </c>
      <c r="J651" t="s">
        <v>261</v>
      </c>
      <c r="K651">
        <v>75773</v>
      </c>
      <c r="L651" s="1">
        <v>43352</v>
      </c>
      <c r="M651" s="1" t="s">
        <v>3165</v>
      </c>
      <c r="N651" t="s">
        <v>1289</v>
      </c>
      <c r="O651" t="s">
        <v>3149</v>
      </c>
    </row>
    <row r="652" spans="1:15" x14ac:dyDescent="0.3">
      <c r="A652" t="s">
        <v>2250</v>
      </c>
      <c r="B652">
        <v>8</v>
      </c>
      <c r="C652" s="1">
        <v>44598</v>
      </c>
      <c r="D652" t="s">
        <v>2251</v>
      </c>
      <c r="E652" t="s">
        <v>2252</v>
      </c>
      <c r="F652" t="s">
        <v>15</v>
      </c>
      <c r="G652" t="s">
        <v>41</v>
      </c>
      <c r="H652">
        <v>111</v>
      </c>
      <c r="I652">
        <v>2017</v>
      </c>
      <c r="J652" t="s">
        <v>24</v>
      </c>
      <c r="K652">
        <v>124601</v>
      </c>
      <c r="L652" s="1">
        <v>42877</v>
      </c>
      <c r="M652" s="1" t="s">
        <v>3165</v>
      </c>
      <c r="N652" t="s">
        <v>729</v>
      </c>
      <c r="O652" t="s">
        <v>3149</v>
      </c>
    </row>
    <row r="653" spans="1:15" x14ac:dyDescent="0.3">
      <c r="A653" t="s">
        <v>2253</v>
      </c>
      <c r="B653">
        <v>6</v>
      </c>
      <c r="C653" s="1">
        <v>45133</v>
      </c>
      <c r="D653" t="s">
        <v>2254</v>
      </c>
      <c r="E653" t="s">
        <v>2255</v>
      </c>
      <c r="F653" t="s">
        <v>15</v>
      </c>
      <c r="G653" t="s">
        <v>1008</v>
      </c>
      <c r="H653">
        <v>90</v>
      </c>
      <c r="I653">
        <v>2017</v>
      </c>
      <c r="J653" t="s">
        <v>225</v>
      </c>
      <c r="K653">
        <v>24992</v>
      </c>
      <c r="L653" s="1">
        <v>42754</v>
      </c>
      <c r="M653" s="1" t="s">
        <v>3165</v>
      </c>
      <c r="N653" t="s">
        <v>2256</v>
      </c>
      <c r="O653" t="s">
        <v>3149</v>
      </c>
    </row>
    <row r="654" spans="1:15" x14ac:dyDescent="0.3">
      <c r="A654" t="s">
        <v>2260</v>
      </c>
      <c r="B654">
        <v>8</v>
      </c>
      <c r="C654" s="1">
        <v>43864</v>
      </c>
      <c r="D654" t="s">
        <v>2261</v>
      </c>
      <c r="E654" t="s">
        <v>2262</v>
      </c>
      <c r="F654" t="s">
        <v>216</v>
      </c>
      <c r="G654" t="s">
        <v>1409</v>
      </c>
      <c r="H654">
        <v>27</v>
      </c>
      <c r="I654">
        <v>2016</v>
      </c>
      <c r="J654" t="s">
        <v>261</v>
      </c>
      <c r="K654">
        <v>190980</v>
      </c>
      <c r="L654" s="1">
        <v>42572</v>
      </c>
      <c r="M654" s="1" t="s">
        <v>3171</v>
      </c>
      <c r="N654" t="s">
        <v>3217</v>
      </c>
      <c r="O654" t="s">
        <v>3175</v>
      </c>
    </row>
    <row r="655" spans="1:15" x14ac:dyDescent="0.3">
      <c r="A655" t="s">
        <v>2263</v>
      </c>
      <c r="B655">
        <v>7</v>
      </c>
      <c r="C655" s="1">
        <v>45151</v>
      </c>
      <c r="D655" t="s">
        <v>2264</v>
      </c>
      <c r="E655" t="s">
        <v>2265</v>
      </c>
      <c r="F655" t="s">
        <v>15</v>
      </c>
      <c r="G655" t="s">
        <v>73</v>
      </c>
      <c r="H655">
        <v>139</v>
      </c>
      <c r="I655">
        <v>2018</v>
      </c>
      <c r="J655" t="s">
        <v>409</v>
      </c>
      <c r="K655">
        <v>49488</v>
      </c>
      <c r="L655" s="1">
        <v>43235</v>
      </c>
      <c r="M655" s="1" t="s">
        <v>3165</v>
      </c>
      <c r="N655" t="s">
        <v>1672</v>
      </c>
      <c r="O655" t="s">
        <v>3149</v>
      </c>
    </row>
    <row r="656" spans="1:15" x14ac:dyDescent="0.3">
      <c r="A656" t="s">
        <v>2266</v>
      </c>
      <c r="B656">
        <v>7</v>
      </c>
      <c r="C656" s="1">
        <v>44844</v>
      </c>
      <c r="D656" t="s">
        <v>2267</v>
      </c>
      <c r="E656" t="s">
        <v>2268</v>
      </c>
      <c r="F656" t="s">
        <v>47</v>
      </c>
      <c r="G656" t="s">
        <v>334</v>
      </c>
      <c r="H656">
        <v>23</v>
      </c>
      <c r="I656">
        <v>2016</v>
      </c>
      <c r="J656" t="s">
        <v>2269</v>
      </c>
      <c r="K656">
        <v>96</v>
      </c>
      <c r="L656" s="1">
        <v>42735</v>
      </c>
      <c r="M656" s="1" t="s">
        <v>3154</v>
      </c>
      <c r="N656" t="s">
        <v>1305</v>
      </c>
      <c r="O656" t="s">
        <v>3149</v>
      </c>
    </row>
    <row r="657" spans="1:15" x14ac:dyDescent="0.3">
      <c r="A657" t="s">
        <v>2274</v>
      </c>
      <c r="B657">
        <v>6</v>
      </c>
      <c r="C657" s="1">
        <v>44645</v>
      </c>
      <c r="D657" t="s">
        <v>2275</v>
      </c>
      <c r="E657" t="s">
        <v>2276</v>
      </c>
      <c r="F657" t="s">
        <v>15</v>
      </c>
      <c r="G657" t="s">
        <v>95</v>
      </c>
      <c r="H657">
        <v>121</v>
      </c>
      <c r="I657">
        <v>2017</v>
      </c>
      <c r="J657" t="s">
        <v>2277</v>
      </c>
      <c r="K657">
        <v>174888</v>
      </c>
      <c r="L657" s="1">
        <v>42877</v>
      </c>
      <c r="M657" s="1" t="s">
        <v>3171</v>
      </c>
      <c r="N657" t="s">
        <v>1727</v>
      </c>
      <c r="O657" t="s">
        <v>3149</v>
      </c>
    </row>
    <row r="658" spans="1:15" x14ac:dyDescent="0.3">
      <c r="A658" t="s">
        <v>2283</v>
      </c>
      <c r="B658">
        <v>8</v>
      </c>
      <c r="C658" s="1">
        <v>44324</v>
      </c>
      <c r="D658" t="s">
        <v>2284</v>
      </c>
      <c r="E658" t="s">
        <v>2285</v>
      </c>
      <c r="F658" t="s">
        <v>15</v>
      </c>
      <c r="G658" t="s">
        <v>61</v>
      </c>
      <c r="H658">
        <v>132</v>
      </c>
      <c r="I658">
        <v>2017</v>
      </c>
      <c r="J658" t="s">
        <v>42</v>
      </c>
      <c r="K658">
        <v>303867</v>
      </c>
      <c r="L658" s="1">
        <v>42757</v>
      </c>
      <c r="M658" s="1" t="s">
        <v>3165</v>
      </c>
      <c r="N658" t="s">
        <v>69</v>
      </c>
      <c r="O658" t="s">
        <v>3149</v>
      </c>
    </row>
    <row r="659" spans="1:15" x14ac:dyDescent="0.3">
      <c r="A659" t="s">
        <v>2286</v>
      </c>
      <c r="B659">
        <v>7</v>
      </c>
      <c r="C659" s="1">
        <v>44629</v>
      </c>
      <c r="D659" t="s">
        <v>2287</v>
      </c>
      <c r="E659" t="s">
        <v>2288</v>
      </c>
      <c r="F659" t="s">
        <v>15</v>
      </c>
      <c r="G659" t="s">
        <v>148</v>
      </c>
      <c r="H659">
        <v>135</v>
      </c>
      <c r="I659">
        <v>2019</v>
      </c>
      <c r="J659" t="s">
        <v>123</v>
      </c>
      <c r="K659">
        <v>310253</v>
      </c>
      <c r="L659" s="1">
        <v>43707</v>
      </c>
      <c r="M659" s="1" t="s">
        <v>3165</v>
      </c>
      <c r="N659" t="s">
        <v>2065</v>
      </c>
      <c r="O659" t="s">
        <v>3149</v>
      </c>
    </row>
    <row r="660" spans="1:15" x14ac:dyDescent="0.3">
      <c r="A660" t="s">
        <v>2289</v>
      </c>
      <c r="B660">
        <v>7</v>
      </c>
      <c r="C660" s="1">
        <v>44179</v>
      </c>
      <c r="D660" t="s">
        <v>2290</v>
      </c>
      <c r="E660" t="s">
        <v>2291</v>
      </c>
      <c r="F660" t="s">
        <v>216</v>
      </c>
      <c r="G660" t="s">
        <v>1409</v>
      </c>
      <c r="H660">
        <v>1455</v>
      </c>
      <c r="I660">
        <v>2017</v>
      </c>
      <c r="J660" t="s">
        <v>2292</v>
      </c>
      <c r="K660">
        <v>430797</v>
      </c>
      <c r="L660" s="1">
        <v>42987</v>
      </c>
      <c r="M660" s="1" t="s">
        <v>3180</v>
      </c>
      <c r="N660" t="s">
        <v>3218</v>
      </c>
      <c r="O660" t="s">
        <v>3149</v>
      </c>
    </row>
    <row r="661" spans="1:15" x14ac:dyDescent="0.3">
      <c r="A661" t="s">
        <v>2293</v>
      </c>
      <c r="B661">
        <v>6</v>
      </c>
      <c r="C661" s="1">
        <v>43839</v>
      </c>
      <c r="D661" t="s">
        <v>2294</v>
      </c>
      <c r="E661" t="s">
        <v>2295</v>
      </c>
      <c r="F661" t="s">
        <v>15</v>
      </c>
      <c r="G661" t="s">
        <v>882</v>
      </c>
      <c r="H661">
        <v>95</v>
      </c>
      <c r="I661">
        <v>2020</v>
      </c>
      <c r="J661" t="s">
        <v>2296</v>
      </c>
      <c r="K661">
        <v>94091</v>
      </c>
      <c r="L661" s="1">
        <v>43837</v>
      </c>
      <c r="M661" s="1" t="s">
        <v>3165</v>
      </c>
      <c r="N661" t="s">
        <v>2297</v>
      </c>
      <c r="O661" t="s">
        <v>3149</v>
      </c>
    </row>
    <row r="662" spans="1:15" x14ac:dyDescent="0.3">
      <c r="A662" t="s">
        <v>2298</v>
      </c>
      <c r="B662">
        <v>7</v>
      </c>
      <c r="C662" s="1">
        <v>45148</v>
      </c>
      <c r="D662" t="s">
        <v>2299</v>
      </c>
      <c r="E662" t="s">
        <v>2300</v>
      </c>
      <c r="F662" t="s">
        <v>15</v>
      </c>
      <c r="G662" t="s">
        <v>158</v>
      </c>
      <c r="H662">
        <v>105</v>
      </c>
      <c r="I662">
        <v>2018</v>
      </c>
      <c r="J662" t="s">
        <v>2277</v>
      </c>
      <c r="K662">
        <v>45016</v>
      </c>
      <c r="L662" s="1">
        <v>43122</v>
      </c>
      <c r="M662" s="1" t="s">
        <v>3169</v>
      </c>
      <c r="N662" t="s">
        <v>2301</v>
      </c>
      <c r="O662" t="s">
        <v>3149</v>
      </c>
    </row>
    <row r="663" spans="1:15" x14ac:dyDescent="0.3">
      <c r="A663" t="s">
        <v>2302</v>
      </c>
      <c r="B663">
        <v>5</v>
      </c>
      <c r="C663" s="1">
        <v>44988</v>
      </c>
      <c r="D663" t="s">
        <v>2303</v>
      </c>
      <c r="E663" t="s">
        <v>2304</v>
      </c>
      <c r="F663" t="s">
        <v>15</v>
      </c>
      <c r="G663" t="s">
        <v>148</v>
      </c>
      <c r="H663">
        <v>130</v>
      </c>
      <c r="I663">
        <v>2017</v>
      </c>
      <c r="J663" t="s">
        <v>2305</v>
      </c>
      <c r="K663">
        <v>142673</v>
      </c>
      <c r="L663" s="1">
        <v>43080</v>
      </c>
      <c r="M663" s="1" t="s">
        <v>3165</v>
      </c>
      <c r="N663" t="s">
        <v>356</v>
      </c>
      <c r="O663" t="s">
        <v>3149</v>
      </c>
    </row>
    <row r="664" spans="1:15" x14ac:dyDescent="0.3">
      <c r="A664" t="s">
        <v>2306</v>
      </c>
      <c r="B664">
        <v>8</v>
      </c>
      <c r="C664" s="1">
        <v>44123</v>
      </c>
      <c r="D664" t="s">
        <v>2307</v>
      </c>
      <c r="E664" t="s">
        <v>2308</v>
      </c>
      <c r="F664" t="s">
        <v>216</v>
      </c>
      <c r="G664" t="s">
        <v>1409</v>
      </c>
      <c r="H664">
        <v>2408</v>
      </c>
      <c r="I664">
        <v>2017</v>
      </c>
      <c r="J664" t="s">
        <v>261</v>
      </c>
      <c r="K664">
        <v>139548</v>
      </c>
      <c r="L664" s="1">
        <v>42811</v>
      </c>
      <c r="M664" s="1" t="s">
        <v>3165</v>
      </c>
      <c r="N664" t="s">
        <v>3189</v>
      </c>
      <c r="O664" t="s">
        <v>3175</v>
      </c>
    </row>
    <row r="665" spans="1:15" x14ac:dyDescent="0.3">
      <c r="A665" t="s">
        <v>2321</v>
      </c>
      <c r="B665">
        <v>7</v>
      </c>
      <c r="C665" s="1">
        <v>44950</v>
      </c>
      <c r="D665" t="s">
        <v>2322</v>
      </c>
      <c r="E665" t="s">
        <v>2323</v>
      </c>
      <c r="F665" t="s">
        <v>15</v>
      </c>
      <c r="G665" t="s">
        <v>158</v>
      </c>
      <c r="H665">
        <v>110</v>
      </c>
      <c r="I665">
        <v>2017</v>
      </c>
      <c r="J665" t="s">
        <v>2277</v>
      </c>
      <c r="K665">
        <v>37372</v>
      </c>
      <c r="L665" s="1">
        <v>42989</v>
      </c>
      <c r="M665" s="1" t="s">
        <v>3159</v>
      </c>
      <c r="N665" t="s">
        <v>2324</v>
      </c>
      <c r="O665" t="s">
        <v>3149</v>
      </c>
    </row>
    <row r="666" spans="1:15" x14ac:dyDescent="0.3">
      <c r="A666" t="s">
        <v>2328</v>
      </c>
      <c r="B666">
        <v>8</v>
      </c>
      <c r="C666" s="1">
        <v>44003</v>
      </c>
      <c r="D666" t="s">
        <v>2329</v>
      </c>
      <c r="E666" t="s">
        <v>2330</v>
      </c>
      <c r="F666" t="s">
        <v>15</v>
      </c>
      <c r="G666" t="s">
        <v>79</v>
      </c>
      <c r="H666">
        <v>120</v>
      </c>
      <c r="I666">
        <v>2018</v>
      </c>
      <c r="J666" t="s">
        <v>2331</v>
      </c>
      <c r="K666">
        <v>954</v>
      </c>
      <c r="L666" s="1">
        <v>43412</v>
      </c>
      <c r="M666" s="1" t="s">
        <v>3154</v>
      </c>
      <c r="N666" t="s">
        <v>2332</v>
      </c>
      <c r="O666" t="s">
        <v>3149</v>
      </c>
    </row>
    <row r="667" spans="1:15" x14ac:dyDescent="0.3">
      <c r="A667" t="s">
        <v>2333</v>
      </c>
      <c r="B667">
        <v>7</v>
      </c>
      <c r="C667" s="1">
        <v>45279</v>
      </c>
      <c r="D667" t="s">
        <v>2334</v>
      </c>
      <c r="E667" t="s">
        <v>2335</v>
      </c>
      <c r="F667" t="s">
        <v>15</v>
      </c>
      <c r="G667" t="s">
        <v>67</v>
      </c>
      <c r="H667">
        <v>105</v>
      </c>
      <c r="I667">
        <v>2018</v>
      </c>
      <c r="J667" t="s">
        <v>24</v>
      </c>
      <c r="K667">
        <v>30888</v>
      </c>
      <c r="L667" s="1">
        <v>43120</v>
      </c>
      <c r="M667" s="1" t="s">
        <v>3165</v>
      </c>
      <c r="N667" t="s">
        <v>2336</v>
      </c>
      <c r="O667" t="s">
        <v>3149</v>
      </c>
    </row>
    <row r="668" spans="1:15" x14ac:dyDescent="0.3">
      <c r="A668" t="s">
        <v>2343</v>
      </c>
      <c r="B668">
        <v>8</v>
      </c>
      <c r="C668" s="1">
        <v>45166</v>
      </c>
      <c r="D668" t="s">
        <v>2344</v>
      </c>
      <c r="E668" t="s">
        <v>2345</v>
      </c>
      <c r="F668" t="s">
        <v>15</v>
      </c>
      <c r="G668" t="s">
        <v>79</v>
      </c>
      <c r="H668">
        <v>104</v>
      </c>
      <c r="I668">
        <v>2017</v>
      </c>
      <c r="J668" t="s">
        <v>24</v>
      </c>
      <c r="K668">
        <v>20427</v>
      </c>
      <c r="L668" s="1">
        <v>42757</v>
      </c>
      <c r="M668" s="1" t="s">
        <v>3165</v>
      </c>
      <c r="N668" t="s">
        <v>2346</v>
      </c>
      <c r="O668" t="s">
        <v>3149</v>
      </c>
    </row>
    <row r="669" spans="1:15" x14ac:dyDescent="0.3">
      <c r="A669" t="s">
        <v>2362</v>
      </c>
      <c r="B669">
        <v>7</v>
      </c>
      <c r="C669" s="1">
        <v>45113</v>
      </c>
      <c r="D669" t="s">
        <v>2363</v>
      </c>
      <c r="E669" t="s">
        <v>2364</v>
      </c>
      <c r="F669" t="s">
        <v>47</v>
      </c>
      <c r="G669" t="s">
        <v>198</v>
      </c>
      <c r="H669">
        <v>15</v>
      </c>
      <c r="I669">
        <v>2017</v>
      </c>
      <c r="J669" t="s">
        <v>456</v>
      </c>
      <c r="K669">
        <v>181</v>
      </c>
      <c r="L669" s="1">
        <v>42769</v>
      </c>
      <c r="M669" s="1" t="s">
        <v>3165</v>
      </c>
      <c r="N669" t="s">
        <v>2365</v>
      </c>
      <c r="O669" t="s">
        <v>3175</v>
      </c>
    </row>
    <row r="670" spans="1:15" x14ac:dyDescent="0.3">
      <c r="A670" t="s">
        <v>2366</v>
      </c>
      <c r="B670">
        <v>6</v>
      </c>
      <c r="C670" s="1">
        <v>44947</v>
      </c>
      <c r="D670" t="s">
        <v>2367</v>
      </c>
      <c r="E670" t="s">
        <v>2368</v>
      </c>
      <c r="F670" t="s">
        <v>15</v>
      </c>
      <c r="G670" t="s">
        <v>379</v>
      </c>
      <c r="H670">
        <v>136</v>
      </c>
      <c r="I670">
        <v>2022</v>
      </c>
      <c r="J670" t="s">
        <v>2369</v>
      </c>
      <c r="K670">
        <v>43061</v>
      </c>
      <c r="L670" s="1">
        <v>44804</v>
      </c>
      <c r="M670" s="1" t="s">
        <v>3165</v>
      </c>
      <c r="N670" t="s">
        <v>1367</v>
      </c>
      <c r="O670" t="s">
        <v>3149</v>
      </c>
    </row>
    <row r="671" spans="1:15" x14ac:dyDescent="0.3">
      <c r="A671" t="s">
        <v>2370</v>
      </c>
      <c r="B671">
        <v>7</v>
      </c>
      <c r="C671" s="1">
        <v>45158</v>
      </c>
      <c r="D671" t="s">
        <v>2371</v>
      </c>
      <c r="E671" t="s">
        <v>2372</v>
      </c>
      <c r="F671" t="s">
        <v>15</v>
      </c>
      <c r="G671" t="s">
        <v>79</v>
      </c>
      <c r="H671">
        <v>115</v>
      </c>
      <c r="I671">
        <v>2017</v>
      </c>
      <c r="J671" t="s">
        <v>399</v>
      </c>
      <c r="K671">
        <v>5838</v>
      </c>
      <c r="L671" s="1">
        <v>42762</v>
      </c>
      <c r="M671" s="1" t="s">
        <v>3203</v>
      </c>
      <c r="N671" t="s">
        <v>2373</v>
      </c>
      <c r="O671" t="s">
        <v>3149</v>
      </c>
    </row>
    <row r="672" spans="1:15" x14ac:dyDescent="0.3">
      <c r="A672" t="s">
        <v>2381</v>
      </c>
      <c r="B672">
        <v>7</v>
      </c>
      <c r="C672" s="1">
        <v>44424</v>
      </c>
      <c r="D672" t="s">
        <v>2382</v>
      </c>
      <c r="E672" t="s">
        <v>2383</v>
      </c>
      <c r="F672" t="s">
        <v>15</v>
      </c>
      <c r="G672" t="s">
        <v>116</v>
      </c>
      <c r="H672">
        <v>141</v>
      </c>
      <c r="I672">
        <v>2021</v>
      </c>
      <c r="J672" t="s">
        <v>1228</v>
      </c>
      <c r="K672">
        <v>22188</v>
      </c>
      <c r="L672" s="1">
        <v>44383</v>
      </c>
      <c r="M672" s="1" t="s">
        <v>3165</v>
      </c>
      <c r="N672" t="s">
        <v>43</v>
      </c>
      <c r="O672" t="s">
        <v>3149</v>
      </c>
    </row>
    <row r="673" spans="1:15" x14ac:dyDescent="0.3">
      <c r="A673" t="s">
        <v>2395</v>
      </c>
      <c r="B673">
        <v>7</v>
      </c>
      <c r="C673" s="1">
        <v>44541</v>
      </c>
      <c r="D673" t="s">
        <v>2396</v>
      </c>
      <c r="E673" t="s">
        <v>2397</v>
      </c>
      <c r="F673" t="s">
        <v>15</v>
      </c>
      <c r="G673" t="s">
        <v>95</v>
      </c>
      <c r="H673">
        <v>99</v>
      </c>
      <c r="I673">
        <v>2020</v>
      </c>
      <c r="J673" t="s">
        <v>96</v>
      </c>
      <c r="K673">
        <v>332</v>
      </c>
      <c r="L673" s="1">
        <v>43856</v>
      </c>
      <c r="M673" s="1" t="s">
        <v>3180</v>
      </c>
      <c r="N673" t="s">
        <v>2398</v>
      </c>
      <c r="O673" t="s">
        <v>3149</v>
      </c>
    </row>
    <row r="674" spans="1:15" x14ac:dyDescent="0.3">
      <c r="A674" t="s">
        <v>2399</v>
      </c>
      <c r="B674">
        <v>8</v>
      </c>
      <c r="C674" s="1">
        <v>43946</v>
      </c>
      <c r="D674" t="s">
        <v>2400</v>
      </c>
      <c r="E674" t="s">
        <v>2401</v>
      </c>
      <c r="F674" t="s">
        <v>15</v>
      </c>
      <c r="G674" t="s">
        <v>56</v>
      </c>
      <c r="H674">
        <v>89</v>
      </c>
      <c r="I674">
        <v>2018</v>
      </c>
      <c r="J674" t="s">
        <v>1876</v>
      </c>
      <c r="K674">
        <v>61110</v>
      </c>
      <c r="L674" s="1">
        <v>43230</v>
      </c>
      <c r="M674" s="1" t="s">
        <v>3166</v>
      </c>
      <c r="N674" t="s">
        <v>1515</v>
      </c>
      <c r="O674" t="s">
        <v>3149</v>
      </c>
    </row>
    <row r="675" spans="1:15" x14ac:dyDescent="0.3">
      <c r="A675" t="s">
        <v>2405</v>
      </c>
      <c r="B675">
        <v>6</v>
      </c>
      <c r="C675" s="1">
        <v>45241</v>
      </c>
      <c r="D675" t="s">
        <v>2406</v>
      </c>
      <c r="E675" t="s">
        <v>2407</v>
      </c>
      <c r="F675" t="s">
        <v>15</v>
      </c>
      <c r="G675" t="s">
        <v>198</v>
      </c>
      <c r="H675">
        <v>141</v>
      </c>
      <c r="I675">
        <v>2018</v>
      </c>
      <c r="J675" t="s">
        <v>409</v>
      </c>
      <c r="K675">
        <v>161898</v>
      </c>
      <c r="L675" s="1">
        <v>43365</v>
      </c>
      <c r="M675" s="1" t="s">
        <v>3165</v>
      </c>
      <c r="N675" t="s">
        <v>2408</v>
      </c>
      <c r="O675" t="s">
        <v>3149</v>
      </c>
    </row>
    <row r="676" spans="1:15" x14ac:dyDescent="0.3">
      <c r="A676" t="s">
        <v>2418</v>
      </c>
      <c r="B676">
        <v>8</v>
      </c>
      <c r="C676" s="1">
        <v>44788</v>
      </c>
      <c r="D676" t="s">
        <v>2419</v>
      </c>
      <c r="E676" t="s">
        <v>2420</v>
      </c>
      <c r="F676" t="s">
        <v>15</v>
      </c>
      <c r="G676" t="s">
        <v>61</v>
      </c>
      <c r="H676">
        <v>139</v>
      </c>
      <c r="I676">
        <v>2022</v>
      </c>
      <c r="J676" t="s">
        <v>2421</v>
      </c>
      <c r="K676">
        <v>499360</v>
      </c>
      <c r="L676" s="1">
        <v>44631</v>
      </c>
      <c r="M676" s="1" t="s">
        <v>3165</v>
      </c>
      <c r="N676" t="s">
        <v>2422</v>
      </c>
      <c r="O676" t="s">
        <v>3149</v>
      </c>
    </row>
    <row r="677" spans="1:15" x14ac:dyDescent="0.3">
      <c r="A677" t="s">
        <v>2423</v>
      </c>
      <c r="B677">
        <v>7</v>
      </c>
      <c r="C677" s="1">
        <v>44074</v>
      </c>
      <c r="D677" t="s">
        <v>2424</v>
      </c>
      <c r="E677" t="s">
        <v>2425</v>
      </c>
      <c r="F677" t="s">
        <v>15</v>
      </c>
      <c r="G677" t="s">
        <v>16</v>
      </c>
      <c r="H677">
        <v>150</v>
      </c>
      <c r="I677">
        <v>2020</v>
      </c>
      <c r="J677" t="s">
        <v>2426</v>
      </c>
      <c r="K677">
        <v>573564</v>
      </c>
      <c r="L677" s="1">
        <v>44065</v>
      </c>
      <c r="M677" s="1" t="s">
        <v>3165</v>
      </c>
      <c r="N677" t="s">
        <v>756</v>
      </c>
      <c r="O677" t="s">
        <v>3149</v>
      </c>
    </row>
    <row r="678" spans="1:15" x14ac:dyDescent="0.3">
      <c r="A678" t="s">
        <v>2431</v>
      </c>
      <c r="B678">
        <v>7</v>
      </c>
      <c r="C678" s="1">
        <v>43866</v>
      </c>
      <c r="D678" t="s">
        <v>2432</v>
      </c>
      <c r="E678" t="s">
        <v>2433</v>
      </c>
      <c r="F678" t="s">
        <v>15</v>
      </c>
      <c r="G678" t="s">
        <v>23</v>
      </c>
      <c r="H678">
        <v>132</v>
      </c>
      <c r="I678">
        <v>2019</v>
      </c>
      <c r="J678" t="s">
        <v>117</v>
      </c>
      <c r="K678">
        <v>915933</v>
      </c>
      <c r="L678" s="1">
        <v>43606</v>
      </c>
      <c r="M678" s="1" t="s">
        <v>3197</v>
      </c>
      <c r="N678" t="s">
        <v>1068</v>
      </c>
      <c r="O678" t="s">
        <v>3149</v>
      </c>
    </row>
    <row r="679" spans="1:15" x14ac:dyDescent="0.3">
      <c r="A679" t="s">
        <v>2434</v>
      </c>
      <c r="B679">
        <v>8</v>
      </c>
      <c r="C679" s="1">
        <v>44425</v>
      </c>
      <c r="D679" t="s">
        <v>2435</v>
      </c>
      <c r="E679" t="s">
        <v>2436</v>
      </c>
      <c r="F679" t="s">
        <v>15</v>
      </c>
      <c r="G679" t="s">
        <v>158</v>
      </c>
      <c r="H679">
        <v>131</v>
      </c>
      <c r="I679">
        <v>2021</v>
      </c>
      <c r="J679" t="s">
        <v>584</v>
      </c>
      <c r="K679">
        <v>24521</v>
      </c>
      <c r="L679" s="1">
        <v>44386</v>
      </c>
      <c r="M679" s="1" t="s">
        <v>3155</v>
      </c>
      <c r="N679" t="s">
        <v>179</v>
      </c>
      <c r="O679" t="s">
        <v>3149</v>
      </c>
    </row>
    <row r="680" spans="1:15" x14ac:dyDescent="0.3">
      <c r="A680" t="s">
        <v>2441</v>
      </c>
      <c r="B680">
        <v>7</v>
      </c>
      <c r="C680" s="1">
        <v>44027</v>
      </c>
      <c r="D680" t="s">
        <v>2442</v>
      </c>
      <c r="E680" t="s">
        <v>2443</v>
      </c>
      <c r="F680" t="s">
        <v>15</v>
      </c>
      <c r="G680" t="s">
        <v>35</v>
      </c>
      <c r="H680">
        <v>141</v>
      </c>
      <c r="I680">
        <v>2019</v>
      </c>
      <c r="J680" t="s">
        <v>2444</v>
      </c>
      <c r="K680">
        <v>15552</v>
      </c>
      <c r="L680" s="1">
        <v>43506</v>
      </c>
      <c r="M680" s="1" t="s">
        <v>3166</v>
      </c>
      <c r="N680" t="s">
        <v>789</v>
      </c>
      <c r="O680" t="s">
        <v>3175</v>
      </c>
    </row>
    <row r="681" spans="1:15" x14ac:dyDescent="0.3">
      <c r="A681" t="s">
        <v>2449</v>
      </c>
      <c r="B681">
        <v>7</v>
      </c>
      <c r="C681" s="1">
        <v>45247</v>
      </c>
      <c r="D681" t="s">
        <v>2450</v>
      </c>
      <c r="E681" t="s">
        <v>2451</v>
      </c>
      <c r="F681" t="s">
        <v>15</v>
      </c>
      <c r="G681" t="s">
        <v>95</v>
      </c>
      <c r="H681">
        <v>95</v>
      </c>
      <c r="I681">
        <v>2018</v>
      </c>
      <c r="J681" t="s">
        <v>24</v>
      </c>
      <c r="K681">
        <v>1857</v>
      </c>
      <c r="L681" s="1">
        <v>43282</v>
      </c>
      <c r="M681" s="1" t="s">
        <v>3211</v>
      </c>
      <c r="N681" t="s">
        <v>2452</v>
      </c>
      <c r="O681" t="s">
        <v>3175</v>
      </c>
    </row>
    <row r="682" spans="1:15" x14ac:dyDescent="0.3">
      <c r="A682" t="s">
        <v>2456</v>
      </c>
      <c r="B682">
        <v>6</v>
      </c>
      <c r="C682" s="1">
        <v>43679</v>
      </c>
      <c r="D682" t="s">
        <v>2457</v>
      </c>
      <c r="E682" t="s">
        <v>2458</v>
      </c>
      <c r="F682" t="s">
        <v>15</v>
      </c>
      <c r="G682" t="s">
        <v>67</v>
      </c>
      <c r="H682">
        <v>116</v>
      </c>
      <c r="I682">
        <v>2019</v>
      </c>
      <c r="J682" t="s">
        <v>738</v>
      </c>
      <c r="K682">
        <v>333303</v>
      </c>
      <c r="L682" s="1">
        <v>43532</v>
      </c>
      <c r="M682" s="1" t="s">
        <v>3165</v>
      </c>
      <c r="N682" t="s">
        <v>2459</v>
      </c>
      <c r="O682" t="s">
        <v>3149</v>
      </c>
    </row>
    <row r="683" spans="1:15" x14ac:dyDescent="0.3">
      <c r="A683" t="s">
        <v>2464</v>
      </c>
      <c r="B683">
        <v>7</v>
      </c>
      <c r="C683" s="1">
        <v>44914</v>
      </c>
      <c r="D683" t="s">
        <v>2465</v>
      </c>
      <c r="E683" t="s">
        <v>2466</v>
      </c>
      <c r="F683" t="s">
        <v>15</v>
      </c>
      <c r="G683" t="s">
        <v>116</v>
      </c>
      <c r="H683">
        <v>98</v>
      </c>
      <c r="I683">
        <v>2019</v>
      </c>
      <c r="J683" t="s">
        <v>1744</v>
      </c>
      <c r="K683">
        <v>68118</v>
      </c>
      <c r="L683" s="1">
        <v>43717</v>
      </c>
      <c r="M683" s="1" t="s">
        <v>3165</v>
      </c>
      <c r="N683" t="s">
        <v>2467</v>
      </c>
      <c r="O683" t="s">
        <v>3149</v>
      </c>
    </row>
    <row r="684" spans="1:15" x14ac:dyDescent="0.3">
      <c r="A684" t="s">
        <v>2472</v>
      </c>
      <c r="B684">
        <v>6</v>
      </c>
      <c r="C684" s="1">
        <v>45189</v>
      </c>
      <c r="D684" t="s">
        <v>2473</v>
      </c>
      <c r="E684" t="s">
        <v>2474</v>
      </c>
      <c r="F684" t="s">
        <v>15</v>
      </c>
      <c r="G684" t="s">
        <v>346</v>
      </c>
      <c r="H684">
        <v>120</v>
      </c>
      <c r="I684">
        <v>2019</v>
      </c>
      <c r="J684" t="s">
        <v>42</v>
      </c>
      <c r="K684">
        <v>14167</v>
      </c>
      <c r="L684" s="1">
        <v>43492</v>
      </c>
      <c r="M684" s="1" t="s">
        <v>3171</v>
      </c>
      <c r="N684" t="s">
        <v>2475</v>
      </c>
      <c r="O684" t="s">
        <v>3175</v>
      </c>
    </row>
    <row r="685" spans="1:15" x14ac:dyDescent="0.3">
      <c r="A685" t="s">
        <v>2476</v>
      </c>
      <c r="B685">
        <v>8</v>
      </c>
      <c r="C685" s="1">
        <v>45124</v>
      </c>
      <c r="D685" t="s">
        <v>2477</v>
      </c>
      <c r="E685" t="s">
        <v>2478</v>
      </c>
      <c r="F685" t="s">
        <v>15</v>
      </c>
      <c r="G685" t="s">
        <v>35</v>
      </c>
      <c r="H685">
        <v>111</v>
      </c>
      <c r="I685">
        <v>2018</v>
      </c>
      <c r="J685" t="s">
        <v>230</v>
      </c>
      <c r="K685">
        <v>39017</v>
      </c>
      <c r="L685" s="1">
        <v>43346</v>
      </c>
      <c r="M685" s="1" t="s">
        <v>3165</v>
      </c>
      <c r="N685" t="s">
        <v>2479</v>
      </c>
      <c r="O685" t="s">
        <v>3149</v>
      </c>
    </row>
    <row r="686" spans="1:15" x14ac:dyDescent="0.3">
      <c r="A686" t="s">
        <v>2480</v>
      </c>
      <c r="B686">
        <v>7</v>
      </c>
      <c r="C686" s="1">
        <v>45161</v>
      </c>
      <c r="D686" t="s">
        <v>2481</v>
      </c>
      <c r="E686" t="s">
        <v>2482</v>
      </c>
      <c r="F686" t="s">
        <v>15</v>
      </c>
      <c r="G686" t="s">
        <v>122</v>
      </c>
      <c r="H686">
        <v>76</v>
      </c>
      <c r="I686">
        <v>2018</v>
      </c>
      <c r="J686" t="s">
        <v>2483</v>
      </c>
      <c r="K686">
        <v>8</v>
      </c>
      <c r="L686" s="1">
        <v>43218</v>
      </c>
      <c r="M686" s="1" t="s">
        <v>3154</v>
      </c>
      <c r="N686" t="s">
        <v>2484</v>
      </c>
      <c r="O686" t="s">
        <v>3149</v>
      </c>
    </row>
    <row r="687" spans="1:15" x14ac:dyDescent="0.3">
      <c r="A687" t="s">
        <v>2485</v>
      </c>
      <c r="B687">
        <v>8</v>
      </c>
      <c r="C687" s="1">
        <v>43845</v>
      </c>
      <c r="D687" t="s">
        <v>2486</v>
      </c>
      <c r="E687" t="s">
        <v>2487</v>
      </c>
      <c r="F687" t="s">
        <v>15</v>
      </c>
      <c r="G687" t="s">
        <v>369</v>
      </c>
      <c r="H687">
        <v>130</v>
      </c>
      <c r="I687">
        <v>2018</v>
      </c>
      <c r="J687" t="s">
        <v>2488</v>
      </c>
      <c r="K687">
        <v>548251</v>
      </c>
      <c r="L687" s="1">
        <v>43354</v>
      </c>
      <c r="M687" s="1" t="s">
        <v>3165</v>
      </c>
      <c r="N687" t="s">
        <v>112</v>
      </c>
      <c r="O687" t="s">
        <v>3149</v>
      </c>
    </row>
    <row r="688" spans="1:15" x14ac:dyDescent="0.3">
      <c r="A688" t="s">
        <v>2493</v>
      </c>
      <c r="B688">
        <v>6</v>
      </c>
      <c r="C688" s="1">
        <v>45191</v>
      </c>
      <c r="D688" t="s">
        <v>2494</v>
      </c>
      <c r="E688" t="s">
        <v>2495</v>
      </c>
      <c r="F688" t="s">
        <v>15</v>
      </c>
      <c r="G688" t="s">
        <v>198</v>
      </c>
      <c r="H688">
        <v>107</v>
      </c>
      <c r="I688">
        <v>2021</v>
      </c>
      <c r="J688" t="s">
        <v>42</v>
      </c>
      <c r="K688">
        <v>4028</v>
      </c>
      <c r="L688" s="1">
        <v>44385</v>
      </c>
      <c r="M688" s="1" t="s">
        <v>3171</v>
      </c>
      <c r="N688" t="s">
        <v>2475</v>
      </c>
      <c r="O688" t="s">
        <v>3175</v>
      </c>
    </row>
    <row r="689" spans="1:15" x14ac:dyDescent="0.3">
      <c r="A689" t="s">
        <v>2500</v>
      </c>
      <c r="B689">
        <v>7</v>
      </c>
      <c r="C689" s="1">
        <v>45004</v>
      </c>
      <c r="D689" t="s">
        <v>2501</v>
      </c>
      <c r="E689" t="s">
        <v>2502</v>
      </c>
      <c r="F689" t="s">
        <v>15</v>
      </c>
      <c r="G689" t="s">
        <v>148</v>
      </c>
      <c r="H689">
        <v>93</v>
      </c>
      <c r="I689">
        <v>2018</v>
      </c>
      <c r="J689" t="s">
        <v>261</v>
      </c>
      <c r="K689">
        <v>81346</v>
      </c>
      <c r="L689" s="1">
        <v>43119</v>
      </c>
      <c r="M689" s="1" t="s">
        <v>3165</v>
      </c>
      <c r="N689" t="s">
        <v>844</v>
      </c>
      <c r="O689" t="s">
        <v>3149</v>
      </c>
    </row>
    <row r="690" spans="1:15" x14ac:dyDescent="0.3">
      <c r="A690" t="s">
        <v>2506</v>
      </c>
      <c r="B690">
        <v>8</v>
      </c>
      <c r="C690" s="1">
        <v>43701</v>
      </c>
      <c r="D690" t="s">
        <v>2507</v>
      </c>
      <c r="E690" t="s">
        <v>2508</v>
      </c>
      <c r="F690" t="s">
        <v>15</v>
      </c>
      <c r="G690" t="s">
        <v>41</v>
      </c>
      <c r="H690">
        <v>161</v>
      </c>
      <c r="I690">
        <v>2019</v>
      </c>
      <c r="J690" t="s">
        <v>261</v>
      </c>
      <c r="K690">
        <v>817754</v>
      </c>
      <c r="L690" s="1">
        <v>43606</v>
      </c>
      <c r="M690" s="1" t="s">
        <v>3165</v>
      </c>
      <c r="N690" t="s">
        <v>189</v>
      </c>
      <c r="O690" t="s">
        <v>3149</v>
      </c>
    </row>
    <row r="691" spans="1:15" x14ac:dyDescent="0.3">
      <c r="A691" t="s">
        <v>2509</v>
      </c>
      <c r="B691">
        <v>7</v>
      </c>
      <c r="C691" s="1">
        <v>43910</v>
      </c>
      <c r="D691" t="s">
        <v>2510</v>
      </c>
      <c r="E691" t="s">
        <v>2511</v>
      </c>
      <c r="F691" t="s">
        <v>15</v>
      </c>
      <c r="G691" t="s">
        <v>116</v>
      </c>
      <c r="H691">
        <v>88</v>
      </c>
      <c r="I691">
        <v>2018</v>
      </c>
      <c r="J691" t="s">
        <v>24</v>
      </c>
      <c r="K691">
        <v>709</v>
      </c>
      <c r="L691" s="1">
        <v>43151</v>
      </c>
      <c r="M691" s="1" t="s">
        <v>3154</v>
      </c>
      <c r="N691" t="s">
        <v>2512</v>
      </c>
      <c r="O691" t="s">
        <v>3175</v>
      </c>
    </row>
    <row r="692" spans="1:15" x14ac:dyDescent="0.3">
      <c r="A692" t="s">
        <v>2513</v>
      </c>
      <c r="B692">
        <v>6</v>
      </c>
      <c r="C692" s="1">
        <v>44703</v>
      </c>
      <c r="D692" t="s">
        <v>2514</v>
      </c>
      <c r="E692" t="s">
        <v>2515</v>
      </c>
      <c r="F692" t="s">
        <v>15</v>
      </c>
      <c r="G692" t="s">
        <v>73</v>
      </c>
      <c r="H692">
        <v>92</v>
      </c>
      <c r="I692">
        <v>2019</v>
      </c>
      <c r="J692" t="s">
        <v>225</v>
      </c>
      <c r="K692">
        <v>49599</v>
      </c>
      <c r="L692" s="1">
        <v>43672</v>
      </c>
      <c r="M692" s="1" t="s">
        <v>3165</v>
      </c>
      <c r="N692" t="s">
        <v>977</v>
      </c>
      <c r="O692" t="s">
        <v>3149</v>
      </c>
    </row>
    <row r="693" spans="1:15" x14ac:dyDescent="0.3">
      <c r="A693" t="s">
        <v>2524</v>
      </c>
      <c r="B693">
        <v>6</v>
      </c>
      <c r="C693" s="1">
        <v>43925</v>
      </c>
      <c r="D693" t="s">
        <v>2525</v>
      </c>
      <c r="E693" t="s">
        <v>2526</v>
      </c>
      <c r="F693" t="s">
        <v>15</v>
      </c>
      <c r="G693" t="s">
        <v>158</v>
      </c>
      <c r="H693">
        <v>107</v>
      </c>
      <c r="I693">
        <v>2018</v>
      </c>
      <c r="J693" t="s">
        <v>261</v>
      </c>
      <c r="K693">
        <v>693</v>
      </c>
      <c r="L693" s="1">
        <v>43282</v>
      </c>
      <c r="M693" s="1" t="s">
        <v>3154</v>
      </c>
      <c r="N693" t="s">
        <v>2527</v>
      </c>
      <c r="O693" t="s">
        <v>3149</v>
      </c>
    </row>
    <row r="694" spans="1:15" x14ac:dyDescent="0.3">
      <c r="A694" t="s">
        <v>2528</v>
      </c>
      <c r="B694">
        <v>8</v>
      </c>
      <c r="C694" s="1">
        <v>45176</v>
      </c>
      <c r="D694" t="s">
        <v>2529</v>
      </c>
      <c r="E694" t="s">
        <v>2530</v>
      </c>
      <c r="F694" t="s">
        <v>583</v>
      </c>
      <c r="G694" t="s">
        <v>61</v>
      </c>
      <c r="H694">
        <v>112</v>
      </c>
      <c r="I694">
        <v>2017</v>
      </c>
      <c r="J694" t="s">
        <v>2531</v>
      </c>
      <c r="K694">
        <v>3973</v>
      </c>
      <c r="L694" s="1">
        <v>42953</v>
      </c>
      <c r="M694" s="1" t="s">
        <v>3171</v>
      </c>
      <c r="N694" t="s">
        <v>2532</v>
      </c>
      <c r="O694" t="s">
        <v>3149</v>
      </c>
    </row>
    <row r="695" spans="1:15" x14ac:dyDescent="0.3">
      <c r="A695" t="s">
        <v>2537</v>
      </c>
      <c r="B695">
        <v>7</v>
      </c>
      <c r="C695" s="1">
        <v>44844</v>
      </c>
      <c r="D695" t="s">
        <v>2538</v>
      </c>
      <c r="E695" t="s">
        <v>2539</v>
      </c>
      <c r="F695" t="s">
        <v>15</v>
      </c>
      <c r="G695" t="s">
        <v>56</v>
      </c>
      <c r="H695">
        <v>64</v>
      </c>
      <c r="I695">
        <v>2018</v>
      </c>
      <c r="J695" t="s">
        <v>1128</v>
      </c>
      <c r="K695">
        <v>59</v>
      </c>
      <c r="L695" s="1">
        <v>43184</v>
      </c>
      <c r="M695" s="1" t="s">
        <v>3154</v>
      </c>
      <c r="N695" t="s">
        <v>2540</v>
      </c>
      <c r="O695" t="s">
        <v>3175</v>
      </c>
    </row>
    <row r="696" spans="1:15" x14ac:dyDescent="0.3">
      <c r="A696" t="s">
        <v>2541</v>
      </c>
      <c r="B696">
        <v>9</v>
      </c>
      <c r="C696" s="1">
        <v>43833</v>
      </c>
      <c r="D696" t="s">
        <v>2542</v>
      </c>
      <c r="E696" t="s">
        <v>2543</v>
      </c>
      <c r="F696" t="s">
        <v>15</v>
      </c>
      <c r="G696" t="s">
        <v>927</v>
      </c>
      <c r="H696">
        <v>122</v>
      </c>
      <c r="I696">
        <v>2019</v>
      </c>
      <c r="J696" t="s">
        <v>123</v>
      </c>
      <c r="K696">
        <v>1436422</v>
      </c>
      <c r="L696" s="1">
        <v>43708</v>
      </c>
      <c r="M696" s="1" t="s">
        <v>3165</v>
      </c>
      <c r="N696" t="s">
        <v>2544</v>
      </c>
      <c r="O696" t="s">
        <v>3149</v>
      </c>
    </row>
    <row r="697" spans="1:15" x14ac:dyDescent="0.3">
      <c r="A697" t="s">
        <v>2545</v>
      </c>
      <c r="B697">
        <v>5</v>
      </c>
      <c r="C697" s="1">
        <v>44902</v>
      </c>
      <c r="D697" t="s">
        <v>2546</v>
      </c>
      <c r="E697" t="s">
        <v>2547</v>
      </c>
      <c r="F697" t="s">
        <v>15</v>
      </c>
      <c r="G697" t="s">
        <v>16</v>
      </c>
      <c r="H697">
        <v>147</v>
      </c>
      <c r="I697">
        <v>2022</v>
      </c>
      <c r="J697" t="s">
        <v>261</v>
      </c>
      <c r="K697">
        <v>165432</v>
      </c>
      <c r="L697" s="1">
        <v>44702</v>
      </c>
      <c r="M697" s="1" t="s">
        <v>3186</v>
      </c>
      <c r="N697" t="s">
        <v>2548</v>
      </c>
      <c r="O697" t="s">
        <v>3149</v>
      </c>
    </row>
    <row r="698" spans="1:15" x14ac:dyDescent="0.3">
      <c r="A698" t="s">
        <v>2552</v>
      </c>
      <c r="B698">
        <v>7</v>
      </c>
      <c r="C698" s="1">
        <v>44073</v>
      </c>
      <c r="D698" t="s">
        <v>2553</v>
      </c>
      <c r="E698" t="s">
        <v>2554</v>
      </c>
      <c r="F698" t="s">
        <v>15</v>
      </c>
      <c r="G698" t="s">
        <v>56</v>
      </c>
      <c r="H698">
        <v>135</v>
      </c>
      <c r="I698">
        <v>2018</v>
      </c>
      <c r="J698" t="s">
        <v>2555</v>
      </c>
      <c r="K698">
        <v>285967</v>
      </c>
      <c r="L698" s="1">
        <v>43234</v>
      </c>
      <c r="M698" s="1" t="s">
        <v>3165</v>
      </c>
      <c r="N698" t="s">
        <v>2556</v>
      </c>
      <c r="O698" t="s">
        <v>3149</v>
      </c>
    </row>
    <row r="699" spans="1:15" x14ac:dyDescent="0.3">
      <c r="A699" t="s">
        <v>2562</v>
      </c>
      <c r="B699">
        <v>10</v>
      </c>
      <c r="C699" s="1">
        <v>43621</v>
      </c>
      <c r="D699" t="s">
        <v>2563</v>
      </c>
      <c r="E699" t="s">
        <v>2564</v>
      </c>
      <c r="F699" t="s">
        <v>22</v>
      </c>
      <c r="G699" t="s">
        <v>329</v>
      </c>
      <c r="H699">
        <v>330</v>
      </c>
      <c r="I699">
        <v>2019</v>
      </c>
      <c r="J699" t="s">
        <v>240</v>
      </c>
      <c r="K699">
        <v>838610</v>
      </c>
      <c r="L699" s="1">
        <v>43591</v>
      </c>
      <c r="M699" s="1" t="s">
        <v>3165</v>
      </c>
      <c r="N699" t="s">
        <v>3219</v>
      </c>
      <c r="O699" t="s">
        <v>3149</v>
      </c>
    </row>
    <row r="700" spans="1:15" x14ac:dyDescent="0.3">
      <c r="A700" t="s">
        <v>2565</v>
      </c>
      <c r="B700">
        <v>7</v>
      </c>
      <c r="C700" s="1">
        <v>44204</v>
      </c>
      <c r="D700" t="s">
        <v>2566</v>
      </c>
      <c r="E700" t="s">
        <v>2567</v>
      </c>
      <c r="F700" t="s">
        <v>15</v>
      </c>
      <c r="G700" t="s">
        <v>198</v>
      </c>
      <c r="H700">
        <v>138</v>
      </c>
      <c r="I700">
        <v>2020</v>
      </c>
      <c r="J700" t="s">
        <v>123</v>
      </c>
      <c r="K700">
        <v>149204</v>
      </c>
      <c r="L700" s="1">
        <v>44084</v>
      </c>
      <c r="M700" s="1" t="s">
        <v>3165</v>
      </c>
      <c r="N700" t="s">
        <v>2568</v>
      </c>
      <c r="O700" t="s">
        <v>3149</v>
      </c>
    </row>
    <row r="701" spans="1:15" x14ac:dyDescent="0.3">
      <c r="A701" t="s">
        <v>2569</v>
      </c>
      <c r="B701">
        <v>7</v>
      </c>
      <c r="C701" s="1">
        <v>43763</v>
      </c>
      <c r="D701" t="s">
        <v>2570</v>
      </c>
      <c r="E701" t="s">
        <v>2571</v>
      </c>
      <c r="F701" t="s">
        <v>15</v>
      </c>
      <c r="G701" t="s">
        <v>379</v>
      </c>
      <c r="H701">
        <v>104</v>
      </c>
      <c r="I701">
        <v>2019</v>
      </c>
      <c r="J701" t="s">
        <v>2572</v>
      </c>
      <c r="K701">
        <v>4377</v>
      </c>
      <c r="L701" s="1">
        <v>43748</v>
      </c>
      <c r="M701" s="1" t="s">
        <v>3154</v>
      </c>
      <c r="N701" t="s">
        <v>2573</v>
      </c>
      <c r="O701" t="s">
        <v>3149</v>
      </c>
    </row>
    <row r="702" spans="1:15" x14ac:dyDescent="0.3">
      <c r="A702" t="s">
        <v>2578</v>
      </c>
      <c r="B702">
        <v>6</v>
      </c>
      <c r="C702" s="1">
        <v>44898</v>
      </c>
      <c r="D702" t="s">
        <v>2579</v>
      </c>
      <c r="E702" t="s">
        <v>2580</v>
      </c>
      <c r="F702" t="s">
        <v>15</v>
      </c>
      <c r="G702" t="s">
        <v>67</v>
      </c>
      <c r="H702">
        <v>130</v>
      </c>
      <c r="I702">
        <v>2021</v>
      </c>
      <c r="J702" t="s">
        <v>2581</v>
      </c>
      <c r="K702">
        <v>35128</v>
      </c>
      <c r="L702" s="1">
        <v>44482</v>
      </c>
      <c r="M702" s="1" t="s">
        <v>3171</v>
      </c>
      <c r="N702" t="s">
        <v>2582</v>
      </c>
      <c r="O702" t="s">
        <v>3149</v>
      </c>
    </row>
    <row r="703" spans="1:15" x14ac:dyDescent="0.3">
      <c r="A703" t="s">
        <v>2586</v>
      </c>
      <c r="B703">
        <v>6</v>
      </c>
      <c r="C703" s="1">
        <v>44993</v>
      </c>
      <c r="D703" t="s">
        <v>2587</v>
      </c>
      <c r="E703" t="s">
        <v>2588</v>
      </c>
      <c r="F703" t="s">
        <v>15</v>
      </c>
      <c r="G703" t="s">
        <v>158</v>
      </c>
      <c r="H703">
        <v>84</v>
      </c>
      <c r="I703">
        <v>2019</v>
      </c>
      <c r="J703" t="s">
        <v>2277</v>
      </c>
      <c r="K703">
        <v>45114</v>
      </c>
      <c r="L703" s="1">
        <v>43716</v>
      </c>
      <c r="M703" s="1" t="s">
        <v>3171</v>
      </c>
      <c r="N703" t="s">
        <v>2589</v>
      </c>
      <c r="O703" t="s">
        <v>3175</v>
      </c>
    </row>
    <row r="704" spans="1:15" x14ac:dyDescent="0.3">
      <c r="A704" t="s">
        <v>2593</v>
      </c>
      <c r="B704">
        <v>6</v>
      </c>
      <c r="C704" s="1">
        <v>44482</v>
      </c>
      <c r="D704" t="s">
        <v>2594</v>
      </c>
      <c r="E704" t="s">
        <v>2595</v>
      </c>
      <c r="F704" t="s">
        <v>47</v>
      </c>
      <c r="G704" t="s">
        <v>116</v>
      </c>
      <c r="H704">
        <v>30</v>
      </c>
      <c r="I704">
        <v>2017</v>
      </c>
      <c r="J704" t="s">
        <v>456</v>
      </c>
      <c r="K704">
        <v>23</v>
      </c>
      <c r="L704" s="1">
        <v>42937</v>
      </c>
      <c r="M704" s="1" t="s">
        <v>3154</v>
      </c>
      <c r="N704" t="s">
        <v>767</v>
      </c>
      <c r="O704" t="s">
        <v>3175</v>
      </c>
    </row>
    <row r="705" spans="1:15" x14ac:dyDescent="0.3">
      <c r="A705" t="s">
        <v>2599</v>
      </c>
      <c r="B705">
        <v>6</v>
      </c>
      <c r="C705" s="1">
        <v>43836</v>
      </c>
      <c r="D705" t="s">
        <v>2600</v>
      </c>
      <c r="E705" t="s">
        <v>2601</v>
      </c>
      <c r="F705" t="s">
        <v>15</v>
      </c>
      <c r="G705" t="s">
        <v>143</v>
      </c>
      <c r="H705">
        <v>137</v>
      </c>
      <c r="I705">
        <v>2019</v>
      </c>
      <c r="J705" t="s">
        <v>42</v>
      </c>
      <c r="K705">
        <v>338352</v>
      </c>
      <c r="L705" s="1">
        <v>43706</v>
      </c>
      <c r="M705" s="1" t="s">
        <v>3165</v>
      </c>
      <c r="N705" t="s">
        <v>1367</v>
      </c>
      <c r="O705" t="s">
        <v>3149</v>
      </c>
    </row>
    <row r="706" spans="1:15" x14ac:dyDescent="0.3">
      <c r="A706" t="s">
        <v>2606</v>
      </c>
      <c r="B706">
        <v>8</v>
      </c>
      <c r="C706" s="1">
        <v>44233</v>
      </c>
      <c r="D706" t="s">
        <v>2607</v>
      </c>
      <c r="E706" t="s">
        <v>2608</v>
      </c>
      <c r="F706" t="s">
        <v>15</v>
      </c>
      <c r="G706" t="s">
        <v>56</v>
      </c>
      <c r="H706">
        <v>112</v>
      </c>
      <c r="I706">
        <v>2017</v>
      </c>
      <c r="J706" t="s">
        <v>62</v>
      </c>
      <c r="K706">
        <v>7636</v>
      </c>
      <c r="L706" s="1">
        <v>43076</v>
      </c>
      <c r="M706" s="1" t="s">
        <v>3154</v>
      </c>
      <c r="N706" t="s">
        <v>1561</v>
      </c>
      <c r="O706" t="s">
        <v>3149</v>
      </c>
    </row>
    <row r="707" spans="1:15" x14ac:dyDescent="0.3">
      <c r="A707" t="s">
        <v>2612</v>
      </c>
      <c r="B707">
        <v>7</v>
      </c>
      <c r="C707" s="1">
        <v>45127</v>
      </c>
      <c r="D707" t="s">
        <v>2613</v>
      </c>
      <c r="E707" t="s">
        <v>2614</v>
      </c>
      <c r="F707" t="s">
        <v>15</v>
      </c>
      <c r="G707" t="s">
        <v>105</v>
      </c>
      <c r="H707">
        <v>109</v>
      </c>
      <c r="I707">
        <v>2020</v>
      </c>
      <c r="J707" t="s">
        <v>2615</v>
      </c>
      <c r="K707">
        <v>260221</v>
      </c>
      <c r="L707" s="1">
        <v>43855</v>
      </c>
      <c r="M707" s="1" t="s">
        <v>3165</v>
      </c>
      <c r="N707" t="s">
        <v>2616</v>
      </c>
      <c r="O707" t="s">
        <v>3175</v>
      </c>
    </row>
    <row r="708" spans="1:15" x14ac:dyDescent="0.3">
      <c r="A708" t="s">
        <v>2617</v>
      </c>
      <c r="B708">
        <v>4</v>
      </c>
      <c r="C708" s="1">
        <v>43941</v>
      </c>
      <c r="D708" t="s">
        <v>2618</v>
      </c>
      <c r="E708" t="s">
        <v>2619</v>
      </c>
      <c r="F708" t="s">
        <v>15</v>
      </c>
      <c r="G708" t="s">
        <v>198</v>
      </c>
      <c r="H708">
        <v>90</v>
      </c>
      <c r="I708">
        <v>2019</v>
      </c>
      <c r="J708" t="s">
        <v>2620</v>
      </c>
      <c r="K708">
        <v>624</v>
      </c>
      <c r="L708" s="1">
        <v>43531</v>
      </c>
      <c r="M708" s="1" t="s">
        <v>3154</v>
      </c>
      <c r="N708" t="s">
        <v>2621</v>
      </c>
      <c r="O708" t="s">
        <v>3175</v>
      </c>
    </row>
    <row r="709" spans="1:15" x14ac:dyDescent="0.3">
      <c r="A709" t="s">
        <v>2622</v>
      </c>
      <c r="B709">
        <v>7</v>
      </c>
      <c r="C709" s="1">
        <v>45102</v>
      </c>
      <c r="D709" t="s">
        <v>2623</v>
      </c>
      <c r="E709" t="s">
        <v>2624</v>
      </c>
      <c r="F709" t="s">
        <v>15</v>
      </c>
      <c r="G709" t="s">
        <v>95</v>
      </c>
      <c r="H709">
        <v>150</v>
      </c>
      <c r="I709">
        <v>2021</v>
      </c>
      <c r="J709" t="s">
        <v>123</v>
      </c>
      <c r="K709">
        <v>160988</v>
      </c>
      <c r="L709" s="1">
        <v>44531</v>
      </c>
      <c r="M709" s="1" t="s">
        <v>3165</v>
      </c>
      <c r="N709" t="s">
        <v>2008</v>
      </c>
      <c r="O709" t="s">
        <v>3149</v>
      </c>
    </row>
    <row r="710" spans="1:15" x14ac:dyDescent="0.3">
      <c r="A710" t="s">
        <v>2625</v>
      </c>
      <c r="B710">
        <v>6</v>
      </c>
      <c r="C710" s="1">
        <v>45169</v>
      </c>
      <c r="D710" t="s">
        <v>2626</v>
      </c>
      <c r="E710" t="s">
        <v>2627</v>
      </c>
      <c r="F710" t="s">
        <v>47</v>
      </c>
      <c r="G710" t="s">
        <v>158</v>
      </c>
      <c r="H710">
        <v>17</v>
      </c>
      <c r="I710">
        <v>2017</v>
      </c>
      <c r="J710" t="s">
        <v>2628</v>
      </c>
      <c r="K710">
        <v>14</v>
      </c>
      <c r="L710" s="1">
        <v>42886</v>
      </c>
      <c r="M710" s="1" t="s">
        <v>3154</v>
      </c>
      <c r="N710" t="s">
        <v>2629</v>
      </c>
      <c r="O710" t="s">
        <v>3175</v>
      </c>
    </row>
    <row r="711" spans="1:15" x14ac:dyDescent="0.3">
      <c r="A711" t="s">
        <v>2630</v>
      </c>
      <c r="B711">
        <v>8</v>
      </c>
      <c r="C711" s="1">
        <v>44634</v>
      </c>
      <c r="D711" t="s">
        <v>2631</v>
      </c>
      <c r="E711" t="s">
        <v>2632</v>
      </c>
      <c r="F711" t="s">
        <v>15</v>
      </c>
      <c r="G711" t="s">
        <v>73</v>
      </c>
      <c r="H711">
        <v>95</v>
      </c>
      <c r="I711">
        <v>2019</v>
      </c>
      <c r="J711" t="s">
        <v>2633</v>
      </c>
      <c r="K711">
        <v>2834</v>
      </c>
      <c r="L711" s="1">
        <v>43769</v>
      </c>
      <c r="M711" s="1" t="s">
        <v>3192</v>
      </c>
      <c r="N711" t="s">
        <v>2634</v>
      </c>
      <c r="O711" t="s">
        <v>3149</v>
      </c>
    </row>
    <row r="712" spans="1:15" x14ac:dyDescent="0.3">
      <c r="A712" t="s">
        <v>2635</v>
      </c>
      <c r="B712">
        <v>7</v>
      </c>
      <c r="C712" s="1">
        <v>44405</v>
      </c>
      <c r="D712" t="s">
        <v>2636</v>
      </c>
      <c r="E712" t="s">
        <v>2637</v>
      </c>
      <c r="F712" t="s">
        <v>15</v>
      </c>
      <c r="G712" t="s">
        <v>16</v>
      </c>
      <c r="H712">
        <v>127</v>
      </c>
      <c r="I712">
        <v>2018</v>
      </c>
      <c r="J712" t="s">
        <v>2277</v>
      </c>
      <c r="K712">
        <v>365338</v>
      </c>
      <c r="L712" s="1">
        <v>43121</v>
      </c>
      <c r="M712" s="1" t="s">
        <v>3165</v>
      </c>
      <c r="N712" t="s">
        <v>734</v>
      </c>
      <c r="O712" t="s">
        <v>3149</v>
      </c>
    </row>
    <row r="713" spans="1:15" x14ac:dyDescent="0.3">
      <c r="A713" t="s">
        <v>2638</v>
      </c>
      <c r="B713">
        <v>7</v>
      </c>
      <c r="C713" s="1">
        <v>45159</v>
      </c>
      <c r="D713" t="s">
        <v>2639</v>
      </c>
      <c r="E713" t="s">
        <v>2640</v>
      </c>
      <c r="F713" t="s">
        <v>15</v>
      </c>
      <c r="G713" t="s">
        <v>35</v>
      </c>
      <c r="H713">
        <v>95</v>
      </c>
      <c r="I713">
        <v>2019</v>
      </c>
      <c r="J713" t="s">
        <v>2641</v>
      </c>
      <c r="K713">
        <v>176234</v>
      </c>
      <c r="L713" s="1">
        <v>43536</v>
      </c>
      <c r="M713" s="1" t="s">
        <v>3165</v>
      </c>
      <c r="N713" t="s">
        <v>2642</v>
      </c>
      <c r="O713" t="s">
        <v>3149</v>
      </c>
    </row>
    <row r="714" spans="1:15" x14ac:dyDescent="0.3">
      <c r="A714" t="s">
        <v>2651</v>
      </c>
      <c r="B714">
        <v>9</v>
      </c>
      <c r="C714" s="1">
        <v>44393</v>
      </c>
      <c r="D714" t="s">
        <v>2652</v>
      </c>
      <c r="E714" t="s">
        <v>2653</v>
      </c>
      <c r="F714" t="s">
        <v>551</v>
      </c>
      <c r="G714" t="s">
        <v>29</v>
      </c>
      <c r="H714">
        <v>79</v>
      </c>
      <c r="I714">
        <v>2018</v>
      </c>
      <c r="J714" t="s">
        <v>235</v>
      </c>
      <c r="K714">
        <v>22930</v>
      </c>
      <c r="L714" s="1">
        <v>43172</v>
      </c>
      <c r="M714" s="1" t="s">
        <v>3171</v>
      </c>
      <c r="N714" t="s">
        <v>1224</v>
      </c>
      <c r="O714" t="s">
        <v>3149</v>
      </c>
    </row>
    <row r="715" spans="1:15" x14ac:dyDescent="0.3">
      <c r="A715" t="s">
        <v>2673</v>
      </c>
      <c r="B715">
        <v>9</v>
      </c>
      <c r="C715" s="1">
        <v>43859</v>
      </c>
      <c r="D715" t="s">
        <v>2674</v>
      </c>
      <c r="E715" t="s">
        <v>2675</v>
      </c>
      <c r="F715" t="s">
        <v>15</v>
      </c>
      <c r="G715" t="s">
        <v>61</v>
      </c>
      <c r="H715">
        <v>104</v>
      </c>
      <c r="I715">
        <v>2019</v>
      </c>
      <c r="J715" t="s">
        <v>261</v>
      </c>
      <c r="K715">
        <v>3808</v>
      </c>
      <c r="L715" s="1">
        <v>43650</v>
      </c>
      <c r="M715" s="1" t="s">
        <v>3154</v>
      </c>
      <c r="N715" t="s">
        <v>1220</v>
      </c>
      <c r="O715" t="s">
        <v>3149</v>
      </c>
    </row>
    <row r="716" spans="1:15" x14ac:dyDescent="0.3">
      <c r="A716" t="s">
        <v>2684</v>
      </c>
      <c r="B716">
        <v>6</v>
      </c>
      <c r="C716" s="1">
        <v>44553</v>
      </c>
      <c r="D716" t="s">
        <v>2685</v>
      </c>
      <c r="E716" t="s">
        <v>2686</v>
      </c>
      <c r="F716" t="s">
        <v>15</v>
      </c>
      <c r="G716" t="s">
        <v>524</v>
      </c>
      <c r="H716">
        <v>134</v>
      </c>
      <c r="I716">
        <v>2020</v>
      </c>
      <c r="J716" t="s">
        <v>117</v>
      </c>
      <c r="K716">
        <v>97709</v>
      </c>
      <c r="L716" s="1">
        <v>44071</v>
      </c>
      <c r="M716" s="1" t="s">
        <v>3165</v>
      </c>
      <c r="N716" t="s">
        <v>2687</v>
      </c>
      <c r="O716" t="s">
        <v>3149</v>
      </c>
    </row>
    <row r="717" spans="1:15" x14ac:dyDescent="0.3">
      <c r="A717" t="s">
        <v>2699</v>
      </c>
      <c r="B717">
        <v>7</v>
      </c>
      <c r="C717" s="1">
        <v>43840</v>
      </c>
      <c r="D717" t="s">
        <v>2700</v>
      </c>
      <c r="E717" t="s">
        <v>2701</v>
      </c>
      <c r="F717" t="s">
        <v>15</v>
      </c>
      <c r="G717" t="s">
        <v>148</v>
      </c>
      <c r="H717">
        <v>109</v>
      </c>
      <c r="I717">
        <v>2019</v>
      </c>
      <c r="J717" t="s">
        <v>159</v>
      </c>
      <c r="K717">
        <v>246452</v>
      </c>
      <c r="L717" s="1">
        <v>43604</v>
      </c>
      <c r="M717" s="1" t="s">
        <v>3165</v>
      </c>
      <c r="N717" t="s">
        <v>1935</v>
      </c>
      <c r="O717" t="s">
        <v>3149</v>
      </c>
    </row>
    <row r="718" spans="1:15" x14ac:dyDescent="0.3">
      <c r="A718" t="s">
        <v>2706</v>
      </c>
      <c r="B718">
        <v>6</v>
      </c>
      <c r="C718" s="1">
        <v>44910</v>
      </c>
      <c r="D718" t="s">
        <v>2707</v>
      </c>
      <c r="E718" t="s">
        <v>2708</v>
      </c>
      <c r="F718" t="s">
        <v>15</v>
      </c>
      <c r="G718" t="s">
        <v>35</v>
      </c>
      <c r="H718">
        <v>94</v>
      </c>
      <c r="I718">
        <v>2018</v>
      </c>
      <c r="J718" t="s">
        <v>467</v>
      </c>
      <c r="K718">
        <v>262</v>
      </c>
      <c r="L718" s="1">
        <v>43159</v>
      </c>
      <c r="M718" s="1" t="s">
        <v>3194</v>
      </c>
      <c r="N718" t="s">
        <v>2709</v>
      </c>
      <c r="O718" t="s">
        <v>3149</v>
      </c>
    </row>
    <row r="719" spans="1:15" x14ac:dyDescent="0.3">
      <c r="A719" t="s">
        <v>2716</v>
      </c>
      <c r="B719">
        <v>5</v>
      </c>
      <c r="C719" s="1">
        <v>44621</v>
      </c>
      <c r="D719" t="s">
        <v>2717</v>
      </c>
      <c r="E719" t="s">
        <v>2718</v>
      </c>
      <c r="F719" t="s">
        <v>15</v>
      </c>
      <c r="G719" t="s">
        <v>1170</v>
      </c>
      <c r="H719">
        <v>75</v>
      </c>
      <c r="I719">
        <v>2018</v>
      </c>
      <c r="J719" t="s">
        <v>17</v>
      </c>
      <c r="K719">
        <v>4234</v>
      </c>
      <c r="L719" s="1">
        <v>43352</v>
      </c>
      <c r="M719" s="1" t="s">
        <v>3155</v>
      </c>
      <c r="N719" t="s">
        <v>1019</v>
      </c>
      <c r="O719" t="s">
        <v>3149</v>
      </c>
    </row>
    <row r="720" spans="1:15" x14ac:dyDescent="0.3">
      <c r="A720" t="s">
        <v>2719</v>
      </c>
      <c r="B720">
        <v>6</v>
      </c>
      <c r="C720" s="1">
        <v>43834</v>
      </c>
      <c r="D720" t="s">
        <v>2720</v>
      </c>
      <c r="E720" t="s">
        <v>2721</v>
      </c>
      <c r="F720" t="s">
        <v>15</v>
      </c>
      <c r="G720" t="s">
        <v>67</v>
      </c>
      <c r="H720">
        <v>116</v>
      </c>
      <c r="I720">
        <v>2019</v>
      </c>
      <c r="J720" t="s">
        <v>2722</v>
      </c>
      <c r="K720">
        <v>163308</v>
      </c>
      <c r="L720" s="1">
        <v>43589</v>
      </c>
      <c r="M720" s="1" t="s">
        <v>3171</v>
      </c>
      <c r="N720" t="s">
        <v>483</v>
      </c>
      <c r="O720" t="s">
        <v>3149</v>
      </c>
    </row>
    <row r="721" spans="1:15" x14ac:dyDescent="0.3">
      <c r="A721" t="s">
        <v>2732</v>
      </c>
      <c r="B721">
        <v>7</v>
      </c>
      <c r="C721" s="1">
        <v>44724</v>
      </c>
      <c r="D721" t="s">
        <v>2733</v>
      </c>
      <c r="E721" t="s">
        <v>2734</v>
      </c>
      <c r="F721" t="s">
        <v>15</v>
      </c>
      <c r="G721" t="s">
        <v>95</v>
      </c>
      <c r="H721">
        <v>100</v>
      </c>
      <c r="I721">
        <v>2022</v>
      </c>
      <c r="J721" t="s">
        <v>645</v>
      </c>
      <c r="K721">
        <v>145663</v>
      </c>
      <c r="L721" s="1">
        <v>44621</v>
      </c>
      <c r="M721" s="1" t="s">
        <v>3165</v>
      </c>
      <c r="N721" t="s">
        <v>2735</v>
      </c>
      <c r="O721" t="s">
        <v>3175</v>
      </c>
    </row>
    <row r="722" spans="1:15" x14ac:dyDescent="0.3">
      <c r="A722" t="s">
        <v>2743</v>
      </c>
      <c r="B722">
        <v>7</v>
      </c>
      <c r="C722" s="1">
        <v>44814</v>
      </c>
      <c r="D722" t="s">
        <v>2744</v>
      </c>
      <c r="E722" t="s">
        <v>2745</v>
      </c>
      <c r="F722" t="s">
        <v>15</v>
      </c>
      <c r="G722" t="s">
        <v>1170</v>
      </c>
      <c r="H722">
        <v>169</v>
      </c>
      <c r="I722">
        <v>2021</v>
      </c>
      <c r="J722" t="s">
        <v>42</v>
      </c>
      <c r="K722">
        <v>2601</v>
      </c>
      <c r="L722" s="1">
        <v>44391</v>
      </c>
      <c r="M722" s="1" t="s">
        <v>3192</v>
      </c>
      <c r="N722" t="s">
        <v>2240</v>
      </c>
      <c r="O722" t="s">
        <v>3175</v>
      </c>
    </row>
    <row r="723" spans="1:15" x14ac:dyDescent="0.3">
      <c r="A723" t="s">
        <v>2746</v>
      </c>
      <c r="B723">
        <v>7</v>
      </c>
      <c r="C723" s="1">
        <v>44230</v>
      </c>
      <c r="D723" t="s">
        <v>2747</v>
      </c>
      <c r="E723" t="s">
        <v>2748</v>
      </c>
      <c r="F723" t="s">
        <v>15</v>
      </c>
      <c r="G723" t="s">
        <v>524</v>
      </c>
      <c r="H723">
        <v>102</v>
      </c>
      <c r="I723">
        <v>2019</v>
      </c>
      <c r="J723" t="s">
        <v>389</v>
      </c>
      <c r="K723">
        <v>1176</v>
      </c>
      <c r="L723" s="1">
        <v>43662</v>
      </c>
      <c r="M723" s="1" t="s">
        <v>3154</v>
      </c>
      <c r="N723" t="s">
        <v>2749</v>
      </c>
      <c r="O723" t="s">
        <v>3149</v>
      </c>
    </row>
    <row r="724" spans="1:15" x14ac:dyDescent="0.3">
      <c r="A724" t="s">
        <v>2750</v>
      </c>
      <c r="B724">
        <v>6</v>
      </c>
      <c r="C724" s="1">
        <v>44514</v>
      </c>
      <c r="D724" t="s">
        <v>2751</v>
      </c>
      <c r="E724" t="s">
        <v>2752</v>
      </c>
      <c r="F724" t="s">
        <v>15</v>
      </c>
      <c r="G724" t="s">
        <v>198</v>
      </c>
      <c r="H724">
        <v>108</v>
      </c>
      <c r="I724">
        <v>2019</v>
      </c>
      <c r="J724" t="s">
        <v>2555</v>
      </c>
      <c r="K724">
        <v>42929</v>
      </c>
      <c r="L724" s="1">
        <v>43716</v>
      </c>
      <c r="M724" s="1" t="s">
        <v>3165</v>
      </c>
      <c r="N724" t="s">
        <v>2753</v>
      </c>
      <c r="O724" t="s">
        <v>3149</v>
      </c>
    </row>
    <row r="725" spans="1:15" x14ac:dyDescent="0.3">
      <c r="A725" t="s">
        <v>2754</v>
      </c>
      <c r="B725">
        <v>8</v>
      </c>
      <c r="C725" s="1">
        <v>44521</v>
      </c>
      <c r="D725" t="s">
        <v>2755</v>
      </c>
      <c r="E725" t="s">
        <v>2756</v>
      </c>
      <c r="F725" t="s">
        <v>15</v>
      </c>
      <c r="G725" t="s">
        <v>95</v>
      </c>
      <c r="H725">
        <v>94</v>
      </c>
      <c r="I725">
        <v>2019</v>
      </c>
      <c r="J725" t="s">
        <v>2757</v>
      </c>
      <c r="K725">
        <v>262395</v>
      </c>
      <c r="L725" s="1">
        <v>43714</v>
      </c>
      <c r="M725" s="1" t="s">
        <v>3159</v>
      </c>
      <c r="N725" t="s">
        <v>2758</v>
      </c>
      <c r="O725" t="s">
        <v>3149</v>
      </c>
    </row>
    <row r="726" spans="1:15" x14ac:dyDescent="0.3">
      <c r="A726" t="s">
        <v>2762</v>
      </c>
      <c r="B726">
        <v>6</v>
      </c>
      <c r="C726" s="1">
        <v>44821</v>
      </c>
      <c r="D726" t="s">
        <v>2763</v>
      </c>
      <c r="E726" t="s">
        <v>2764</v>
      </c>
      <c r="F726" t="s">
        <v>15</v>
      </c>
      <c r="G726" t="s">
        <v>148</v>
      </c>
      <c r="H726">
        <v>100</v>
      </c>
      <c r="I726">
        <v>2021</v>
      </c>
      <c r="J726" t="s">
        <v>1822</v>
      </c>
      <c r="K726">
        <v>1382</v>
      </c>
      <c r="L726" s="1">
        <v>44348</v>
      </c>
      <c r="M726" s="1" t="s">
        <v>3154</v>
      </c>
      <c r="N726" t="s">
        <v>2765</v>
      </c>
      <c r="O726" t="s">
        <v>3149</v>
      </c>
    </row>
    <row r="727" spans="1:15" x14ac:dyDescent="0.3">
      <c r="A727" t="s">
        <v>2770</v>
      </c>
      <c r="B727">
        <v>2</v>
      </c>
      <c r="C727" s="1">
        <v>43683</v>
      </c>
      <c r="D727" t="s">
        <v>2771</v>
      </c>
      <c r="E727" t="s">
        <v>2772</v>
      </c>
      <c r="F727" t="s">
        <v>15</v>
      </c>
      <c r="G727" t="s">
        <v>882</v>
      </c>
      <c r="H727">
        <v>106</v>
      </c>
      <c r="I727">
        <v>2019</v>
      </c>
      <c r="J727" t="s">
        <v>738</v>
      </c>
      <c r="K727">
        <v>85337</v>
      </c>
      <c r="L727" s="1">
        <v>43633</v>
      </c>
      <c r="M727" s="1" t="s">
        <v>3165</v>
      </c>
      <c r="N727" t="s">
        <v>2773</v>
      </c>
      <c r="O727" t="s">
        <v>3149</v>
      </c>
    </row>
    <row r="728" spans="1:15" x14ac:dyDescent="0.3">
      <c r="A728" t="s">
        <v>2774</v>
      </c>
      <c r="B728">
        <v>6</v>
      </c>
      <c r="C728" s="1">
        <v>44124</v>
      </c>
      <c r="D728" t="s">
        <v>2775</v>
      </c>
      <c r="E728" t="s">
        <v>2776</v>
      </c>
      <c r="F728" t="s">
        <v>15</v>
      </c>
      <c r="G728" t="s">
        <v>158</v>
      </c>
      <c r="H728">
        <v>80</v>
      </c>
      <c r="I728">
        <v>2018</v>
      </c>
      <c r="J728" t="s">
        <v>261</v>
      </c>
      <c r="K728">
        <v>304</v>
      </c>
      <c r="L728" s="1">
        <v>43296</v>
      </c>
      <c r="M728" s="1" t="s">
        <v>3154</v>
      </c>
      <c r="N728" t="s">
        <v>2777</v>
      </c>
      <c r="O728" t="s">
        <v>3175</v>
      </c>
    </row>
    <row r="729" spans="1:15" x14ac:dyDescent="0.3">
      <c r="A729" t="s">
        <v>2778</v>
      </c>
      <c r="B729">
        <v>7</v>
      </c>
      <c r="C729" s="1">
        <v>44318</v>
      </c>
      <c r="D729" t="s">
        <v>2779</v>
      </c>
      <c r="E729" t="s">
        <v>2780</v>
      </c>
      <c r="F729" t="s">
        <v>15</v>
      </c>
      <c r="G729" t="s">
        <v>35</v>
      </c>
      <c r="H729">
        <v>97</v>
      </c>
      <c r="I729">
        <v>2018</v>
      </c>
      <c r="J729" t="s">
        <v>2781</v>
      </c>
      <c r="K729">
        <v>77282</v>
      </c>
      <c r="L729" s="1">
        <v>43233</v>
      </c>
      <c r="M729" s="1" t="s">
        <v>3155</v>
      </c>
      <c r="N729" t="s">
        <v>118</v>
      </c>
      <c r="O729" t="s">
        <v>3149</v>
      </c>
    </row>
    <row r="730" spans="1:15" x14ac:dyDescent="0.3">
      <c r="A730" t="s">
        <v>2782</v>
      </c>
      <c r="B730">
        <v>6</v>
      </c>
      <c r="C730" s="1">
        <v>44741</v>
      </c>
      <c r="D730" t="s">
        <v>2783</v>
      </c>
      <c r="E730" t="s">
        <v>2784</v>
      </c>
      <c r="F730" t="s">
        <v>15</v>
      </c>
      <c r="G730" t="s">
        <v>882</v>
      </c>
      <c r="H730">
        <v>86</v>
      </c>
      <c r="I730">
        <v>2019</v>
      </c>
      <c r="J730" t="s">
        <v>178</v>
      </c>
      <c r="K730">
        <v>1926</v>
      </c>
      <c r="L730" s="1">
        <v>43742</v>
      </c>
      <c r="M730" s="1" t="s">
        <v>3171</v>
      </c>
      <c r="N730" t="s">
        <v>2785</v>
      </c>
      <c r="O730" t="s">
        <v>3175</v>
      </c>
    </row>
    <row r="731" spans="1:15" x14ac:dyDescent="0.3">
      <c r="A731" t="s">
        <v>2786</v>
      </c>
      <c r="B731">
        <v>9</v>
      </c>
      <c r="C731" s="1">
        <v>43873</v>
      </c>
      <c r="D731" t="s">
        <v>2787</v>
      </c>
      <c r="E731" t="s">
        <v>2788</v>
      </c>
      <c r="F731" t="s">
        <v>15</v>
      </c>
      <c r="G731" t="s">
        <v>61</v>
      </c>
      <c r="H731">
        <v>113</v>
      </c>
      <c r="I731">
        <v>2019</v>
      </c>
      <c r="J731" t="s">
        <v>2789</v>
      </c>
      <c r="K731">
        <v>379036</v>
      </c>
      <c r="L731" s="1">
        <v>43802</v>
      </c>
      <c r="M731" s="1" t="s">
        <v>3165</v>
      </c>
      <c r="N731" t="s">
        <v>2790</v>
      </c>
      <c r="O731" t="s">
        <v>3149</v>
      </c>
    </row>
    <row r="732" spans="1:15" x14ac:dyDescent="0.3">
      <c r="A732" t="s">
        <v>2791</v>
      </c>
      <c r="B732">
        <v>7</v>
      </c>
      <c r="C732" s="1">
        <v>45192</v>
      </c>
      <c r="D732" t="s">
        <v>2792</v>
      </c>
      <c r="E732" t="s">
        <v>2793</v>
      </c>
      <c r="F732" t="s">
        <v>15</v>
      </c>
      <c r="G732" t="s">
        <v>882</v>
      </c>
      <c r="H732">
        <v>97</v>
      </c>
      <c r="I732">
        <v>2019</v>
      </c>
      <c r="J732" t="s">
        <v>2794</v>
      </c>
      <c r="K732">
        <v>71311</v>
      </c>
      <c r="L732" s="1">
        <v>43603</v>
      </c>
      <c r="M732" s="1" t="s">
        <v>3176</v>
      </c>
      <c r="N732" t="s">
        <v>2795</v>
      </c>
      <c r="O732" t="s">
        <v>3149</v>
      </c>
    </row>
    <row r="733" spans="1:15" x14ac:dyDescent="0.3">
      <c r="A733" t="s">
        <v>2799</v>
      </c>
      <c r="B733">
        <v>8</v>
      </c>
      <c r="C733" s="1">
        <v>43834</v>
      </c>
      <c r="D733" t="s">
        <v>2800</v>
      </c>
      <c r="E733" t="s">
        <v>2801</v>
      </c>
      <c r="F733" t="s">
        <v>15</v>
      </c>
      <c r="G733" t="s">
        <v>41</v>
      </c>
      <c r="H733">
        <v>125</v>
      </c>
      <c r="I733">
        <v>2019</v>
      </c>
      <c r="J733" t="s">
        <v>204</v>
      </c>
      <c r="K733">
        <v>131263</v>
      </c>
      <c r="L733" s="1">
        <v>43708</v>
      </c>
      <c r="M733" s="1" t="s">
        <v>3165</v>
      </c>
      <c r="N733" t="s">
        <v>2802</v>
      </c>
      <c r="O733" t="s">
        <v>3149</v>
      </c>
    </row>
    <row r="734" spans="1:15" x14ac:dyDescent="0.3">
      <c r="A734" t="s">
        <v>2827</v>
      </c>
      <c r="B734">
        <v>8</v>
      </c>
      <c r="C734" s="1">
        <v>44791</v>
      </c>
      <c r="D734" t="s">
        <v>2828</v>
      </c>
      <c r="E734" t="s">
        <v>2829</v>
      </c>
      <c r="F734" t="s">
        <v>15</v>
      </c>
      <c r="G734" t="s">
        <v>187</v>
      </c>
      <c r="H734">
        <v>160</v>
      </c>
      <c r="I734">
        <v>2020</v>
      </c>
      <c r="J734" t="s">
        <v>2830</v>
      </c>
      <c r="K734">
        <v>109325</v>
      </c>
      <c r="L734" s="1">
        <v>44015</v>
      </c>
      <c r="M734" s="1" t="s">
        <v>3165</v>
      </c>
      <c r="N734" t="s">
        <v>2831</v>
      </c>
      <c r="O734" t="s">
        <v>3149</v>
      </c>
    </row>
    <row r="735" spans="1:15" x14ac:dyDescent="0.3">
      <c r="A735" t="s">
        <v>2832</v>
      </c>
      <c r="B735">
        <v>5</v>
      </c>
      <c r="C735" s="1">
        <v>43835</v>
      </c>
      <c r="D735" s="3" t="s">
        <v>2833</v>
      </c>
      <c r="E735" t="s">
        <v>2834</v>
      </c>
      <c r="F735" t="s">
        <v>15</v>
      </c>
      <c r="G735" t="s">
        <v>163</v>
      </c>
      <c r="H735">
        <v>70</v>
      </c>
      <c r="I735">
        <v>2018</v>
      </c>
      <c r="J735" t="s">
        <v>2835</v>
      </c>
      <c r="K735">
        <v>58</v>
      </c>
      <c r="L735" s="1">
        <v>43249</v>
      </c>
      <c r="M735" s="1" t="s">
        <v>3154</v>
      </c>
      <c r="N735" t="s">
        <v>413</v>
      </c>
      <c r="O735" t="s">
        <v>3149</v>
      </c>
    </row>
    <row r="736" spans="1:15" x14ac:dyDescent="0.3">
      <c r="A736" t="s">
        <v>2836</v>
      </c>
      <c r="B736">
        <v>6</v>
      </c>
      <c r="C736" s="1">
        <v>45255</v>
      </c>
      <c r="D736" t="s">
        <v>2837</v>
      </c>
      <c r="E736" t="s">
        <v>2838</v>
      </c>
      <c r="F736" t="s">
        <v>216</v>
      </c>
      <c r="G736" t="s">
        <v>84</v>
      </c>
      <c r="H736">
        <v>300</v>
      </c>
      <c r="I736">
        <v>2020</v>
      </c>
      <c r="J736" t="s">
        <v>17</v>
      </c>
      <c r="K736">
        <v>15488</v>
      </c>
      <c r="L736" s="1">
        <v>43875</v>
      </c>
      <c r="M736" s="1" t="s">
        <v>3165</v>
      </c>
      <c r="N736" t="s">
        <v>25</v>
      </c>
      <c r="O736" t="s">
        <v>3149</v>
      </c>
    </row>
    <row r="737" spans="1:15" x14ac:dyDescent="0.3">
      <c r="A737" t="s">
        <v>2842</v>
      </c>
      <c r="B737">
        <v>8</v>
      </c>
      <c r="C737" s="1">
        <v>43869</v>
      </c>
      <c r="D737" s="3" t="s">
        <v>2843</v>
      </c>
      <c r="E737" t="s">
        <v>2844</v>
      </c>
      <c r="F737" t="s">
        <v>15</v>
      </c>
      <c r="G737" t="s">
        <v>369</v>
      </c>
      <c r="H737">
        <v>119</v>
      </c>
      <c r="I737">
        <v>2019</v>
      </c>
      <c r="J737" t="s">
        <v>62</v>
      </c>
      <c r="K737">
        <v>656475</v>
      </c>
      <c r="L737" s="1">
        <v>43803</v>
      </c>
      <c r="M737" s="1" t="s">
        <v>3171</v>
      </c>
      <c r="N737" t="s">
        <v>1048</v>
      </c>
      <c r="O737" t="s">
        <v>3149</v>
      </c>
    </row>
    <row r="738" spans="1:15" x14ac:dyDescent="0.3">
      <c r="A738" t="s">
        <v>2845</v>
      </c>
      <c r="B738">
        <v>8</v>
      </c>
      <c r="C738" s="1">
        <v>44011</v>
      </c>
      <c r="D738" t="s">
        <v>2846</v>
      </c>
      <c r="E738" t="s">
        <v>2847</v>
      </c>
      <c r="F738" t="s">
        <v>15</v>
      </c>
      <c r="G738" t="s">
        <v>73</v>
      </c>
      <c r="H738">
        <v>123</v>
      </c>
      <c r="I738">
        <v>2020</v>
      </c>
      <c r="J738" t="s">
        <v>1659</v>
      </c>
      <c r="K738">
        <v>100813</v>
      </c>
      <c r="L738" s="1">
        <v>44008</v>
      </c>
      <c r="M738" s="1" t="s">
        <v>3165</v>
      </c>
      <c r="N738" t="s">
        <v>2848</v>
      </c>
      <c r="O738" t="s">
        <v>3149</v>
      </c>
    </row>
    <row r="739" spans="1:15" x14ac:dyDescent="0.3">
      <c r="A739" t="s">
        <v>2849</v>
      </c>
      <c r="B739">
        <v>7</v>
      </c>
      <c r="C739" s="1">
        <v>44594</v>
      </c>
      <c r="D739" t="s">
        <v>2850</v>
      </c>
      <c r="E739" t="s">
        <v>2851</v>
      </c>
      <c r="F739" t="s">
        <v>15</v>
      </c>
      <c r="G739" t="s">
        <v>105</v>
      </c>
      <c r="H739">
        <v>88</v>
      </c>
      <c r="I739">
        <v>2020</v>
      </c>
      <c r="J739" t="s">
        <v>225</v>
      </c>
      <c r="K739">
        <v>9116</v>
      </c>
      <c r="L739" s="1">
        <v>44092</v>
      </c>
      <c r="M739" s="1" t="s">
        <v>3165</v>
      </c>
      <c r="N739" t="s">
        <v>977</v>
      </c>
      <c r="O739" t="s">
        <v>3149</v>
      </c>
    </row>
    <row r="740" spans="1:15" x14ac:dyDescent="0.3">
      <c r="A740" t="s">
        <v>2852</v>
      </c>
      <c r="B740">
        <v>7</v>
      </c>
      <c r="C740" s="1">
        <v>44641</v>
      </c>
      <c r="D740" t="s">
        <v>2853</v>
      </c>
      <c r="E740" t="s">
        <v>2854</v>
      </c>
      <c r="F740" t="s">
        <v>15</v>
      </c>
      <c r="G740" t="s">
        <v>334</v>
      </c>
      <c r="H740">
        <v>122</v>
      </c>
      <c r="I740">
        <v>2019</v>
      </c>
      <c r="J740" t="s">
        <v>42</v>
      </c>
      <c r="K740">
        <v>105723</v>
      </c>
      <c r="L740" s="1">
        <v>43604</v>
      </c>
      <c r="M740" s="1" t="s">
        <v>3155</v>
      </c>
      <c r="N740" t="s">
        <v>685</v>
      </c>
      <c r="O740" t="s">
        <v>3175</v>
      </c>
    </row>
    <row r="741" spans="1:15" x14ac:dyDescent="0.3">
      <c r="A741" t="s">
        <v>2859</v>
      </c>
      <c r="B741">
        <v>6</v>
      </c>
      <c r="C741" s="1">
        <v>44225</v>
      </c>
      <c r="D741" t="s">
        <v>2860</v>
      </c>
      <c r="E741" t="s">
        <v>2861</v>
      </c>
      <c r="F741" t="s">
        <v>15</v>
      </c>
      <c r="G741" t="s">
        <v>158</v>
      </c>
      <c r="H741">
        <v>98</v>
      </c>
      <c r="I741">
        <v>2019</v>
      </c>
      <c r="J741" t="s">
        <v>261</v>
      </c>
      <c r="K741">
        <v>5075</v>
      </c>
      <c r="L741" s="1">
        <v>43602</v>
      </c>
      <c r="M741" s="1" t="s">
        <v>3165</v>
      </c>
      <c r="N741" t="s">
        <v>2862</v>
      </c>
      <c r="O741" t="s">
        <v>3149</v>
      </c>
    </row>
    <row r="742" spans="1:15" x14ac:dyDescent="0.3">
      <c r="A742" t="s">
        <v>2875</v>
      </c>
      <c r="B742">
        <v>6</v>
      </c>
      <c r="C742" s="1">
        <v>44622</v>
      </c>
      <c r="D742" t="s">
        <v>2876</v>
      </c>
      <c r="E742" t="s">
        <v>2877</v>
      </c>
      <c r="F742" t="s">
        <v>15</v>
      </c>
      <c r="G742" t="s">
        <v>56</v>
      </c>
      <c r="H742">
        <v>115</v>
      </c>
      <c r="I742">
        <v>2021</v>
      </c>
      <c r="J742" t="s">
        <v>2878</v>
      </c>
      <c r="K742">
        <v>117052</v>
      </c>
      <c r="L742" s="1">
        <v>44510</v>
      </c>
      <c r="M742" s="1" t="s">
        <v>3165</v>
      </c>
      <c r="N742" t="s">
        <v>2879</v>
      </c>
      <c r="O742" t="s">
        <v>3149</v>
      </c>
    </row>
    <row r="743" spans="1:15" x14ac:dyDescent="0.3">
      <c r="A743" t="s">
        <v>2880</v>
      </c>
      <c r="B743">
        <v>6</v>
      </c>
      <c r="C743" s="1">
        <v>45154</v>
      </c>
      <c r="D743" t="s">
        <v>2881</v>
      </c>
      <c r="E743" t="s">
        <v>2882</v>
      </c>
      <c r="F743" t="s">
        <v>22</v>
      </c>
      <c r="G743" t="s">
        <v>143</v>
      </c>
      <c r="H743">
        <v>402</v>
      </c>
      <c r="I743">
        <v>2019</v>
      </c>
      <c r="J743" t="s">
        <v>74</v>
      </c>
      <c r="K743">
        <v>7168</v>
      </c>
      <c r="L743" s="1">
        <v>43564</v>
      </c>
      <c r="M743" s="1" t="s">
        <v>3165</v>
      </c>
      <c r="N743" t="s">
        <v>3216</v>
      </c>
      <c r="O743" t="s">
        <v>3149</v>
      </c>
    </row>
    <row r="744" spans="1:15" x14ac:dyDescent="0.3">
      <c r="A744" t="s">
        <v>2883</v>
      </c>
      <c r="B744">
        <v>6</v>
      </c>
      <c r="C744" s="1">
        <v>44488</v>
      </c>
      <c r="D744" t="s">
        <v>2884</v>
      </c>
      <c r="E744" t="s">
        <v>2885</v>
      </c>
      <c r="F744" t="s">
        <v>47</v>
      </c>
      <c r="G744" t="s">
        <v>61</v>
      </c>
      <c r="H744">
        <v>30</v>
      </c>
      <c r="I744">
        <v>2018</v>
      </c>
      <c r="J744" t="s">
        <v>48</v>
      </c>
      <c r="K744">
        <v>9</v>
      </c>
      <c r="L744" s="1">
        <v>43299</v>
      </c>
      <c r="M744" s="1" t="s">
        <v>3154</v>
      </c>
      <c r="N744" t="s">
        <v>2886</v>
      </c>
      <c r="O744" t="s">
        <v>3175</v>
      </c>
    </row>
    <row r="745" spans="1:15" x14ac:dyDescent="0.3">
      <c r="A745" t="s">
        <v>2887</v>
      </c>
      <c r="B745">
        <v>7</v>
      </c>
      <c r="C745" s="1">
        <v>44944</v>
      </c>
      <c r="D745" t="s">
        <v>2888</v>
      </c>
      <c r="E745" t="s">
        <v>2889</v>
      </c>
      <c r="F745" t="s">
        <v>15</v>
      </c>
      <c r="G745" t="s">
        <v>198</v>
      </c>
      <c r="H745">
        <v>148</v>
      </c>
      <c r="I745">
        <v>2019</v>
      </c>
      <c r="J745" t="s">
        <v>2277</v>
      </c>
      <c r="K745">
        <v>384282</v>
      </c>
      <c r="L745" s="1">
        <v>43640</v>
      </c>
      <c r="M745" s="1" t="s">
        <v>3165</v>
      </c>
      <c r="N745" t="s">
        <v>734</v>
      </c>
      <c r="O745" t="s">
        <v>3149</v>
      </c>
    </row>
    <row r="746" spans="1:15" x14ac:dyDescent="0.3">
      <c r="A746" t="s">
        <v>2890</v>
      </c>
      <c r="B746">
        <v>8</v>
      </c>
      <c r="C746" s="1">
        <v>43685</v>
      </c>
      <c r="D746" t="s">
        <v>2891</v>
      </c>
      <c r="E746" t="s">
        <v>2892</v>
      </c>
      <c r="F746" t="s">
        <v>216</v>
      </c>
      <c r="G746" t="s">
        <v>187</v>
      </c>
      <c r="H746">
        <f>8*55</f>
        <v>440</v>
      </c>
      <c r="I746">
        <v>2019</v>
      </c>
      <c r="J746" t="s">
        <v>24</v>
      </c>
      <c r="K746">
        <v>226631</v>
      </c>
      <c r="L746" s="1">
        <v>43632</v>
      </c>
      <c r="M746" s="1" t="s">
        <v>3165</v>
      </c>
      <c r="N746" t="s">
        <v>629</v>
      </c>
      <c r="O746" t="s">
        <v>3149</v>
      </c>
    </row>
    <row r="747" spans="1:15" x14ac:dyDescent="0.3">
      <c r="A747" t="s">
        <v>2908</v>
      </c>
      <c r="B747">
        <v>8</v>
      </c>
      <c r="C747" s="1">
        <v>44558</v>
      </c>
      <c r="D747" t="s">
        <v>2909</v>
      </c>
      <c r="E747" t="s">
        <v>2910</v>
      </c>
      <c r="F747" t="s">
        <v>15</v>
      </c>
      <c r="G747" t="s">
        <v>198</v>
      </c>
      <c r="H747">
        <v>107</v>
      </c>
      <c r="I747">
        <v>2021</v>
      </c>
      <c r="J747" t="s">
        <v>17</v>
      </c>
      <c r="K747">
        <v>146046</v>
      </c>
      <c r="L747" s="1">
        <v>44389</v>
      </c>
      <c r="M747" s="1" t="s">
        <v>3165</v>
      </c>
      <c r="N747" t="s">
        <v>298</v>
      </c>
      <c r="O747" t="s">
        <v>3149</v>
      </c>
    </row>
    <row r="748" spans="1:15" x14ac:dyDescent="0.3">
      <c r="A748" t="s">
        <v>2911</v>
      </c>
      <c r="B748">
        <v>6</v>
      </c>
      <c r="C748" s="1">
        <v>44071</v>
      </c>
      <c r="D748" t="s">
        <v>2912</v>
      </c>
      <c r="E748" t="s">
        <v>2913</v>
      </c>
      <c r="F748" t="s">
        <v>15</v>
      </c>
      <c r="G748" t="s">
        <v>461</v>
      </c>
      <c r="H748">
        <v>116</v>
      </c>
      <c r="I748">
        <v>2020</v>
      </c>
      <c r="J748" t="s">
        <v>2914</v>
      </c>
      <c r="K748">
        <v>36833</v>
      </c>
      <c r="L748" s="1">
        <v>44027</v>
      </c>
      <c r="M748" s="1" t="s">
        <v>3197</v>
      </c>
      <c r="N748" t="s">
        <v>2915</v>
      </c>
      <c r="O748" t="s">
        <v>3149</v>
      </c>
    </row>
    <row r="749" spans="1:15" x14ac:dyDescent="0.3">
      <c r="A749" t="s">
        <v>2927</v>
      </c>
      <c r="B749">
        <v>7</v>
      </c>
      <c r="C749" s="1">
        <v>44424</v>
      </c>
      <c r="D749" t="s">
        <v>2928</v>
      </c>
      <c r="E749" t="s">
        <v>2929</v>
      </c>
      <c r="F749" t="s">
        <v>15</v>
      </c>
      <c r="G749" t="s">
        <v>116</v>
      </c>
      <c r="H749">
        <v>96</v>
      </c>
      <c r="I749">
        <v>2020</v>
      </c>
      <c r="J749" t="s">
        <v>24</v>
      </c>
      <c r="K749">
        <v>129</v>
      </c>
      <c r="L749" s="1">
        <v>44125</v>
      </c>
      <c r="M749" s="1" t="s">
        <v>3180</v>
      </c>
      <c r="N749" t="s">
        <v>2930</v>
      </c>
      <c r="O749" t="s">
        <v>3149</v>
      </c>
    </row>
    <row r="750" spans="1:15" x14ac:dyDescent="0.3">
      <c r="A750" t="s">
        <v>2931</v>
      </c>
      <c r="B750">
        <v>7</v>
      </c>
      <c r="C750" s="1">
        <v>43951</v>
      </c>
      <c r="D750" t="s">
        <v>2932</v>
      </c>
      <c r="E750" t="s">
        <v>2933</v>
      </c>
      <c r="F750" t="s">
        <v>15</v>
      </c>
      <c r="G750" t="s">
        <v>143</v>
      </c>
      <c r="H750">
        <v>130</v>
      </c>
      <c r="I750">
        <v>2019</v>
      </c>
      <c r="J750" t="s">
        <v>2934</v>
      </c>
      <c r="K750">
        <v>753143</v>
      </c>
      <c r="L750" s="1">
        <v>43715</v>
      </c>
      <c r="M750" s="1" t="s">
        <v>3165</v>
      </c>
      <c r="N750" t="s">
        <v>2935</v>
      </c>
      <c r="O750" t="s">
        <v>3149</v>
      </c>
    </row>
    <row r="751" spans="1:15" x14ac:dyDescent="0.3">
      <c r="A751" t="s">
        <v>2936</v>
      </c>
      <c r="B751">
        <v>8</v>
      </c>
      <c r="C751" s="1">
        <v>45179</v>
      </c>
      <c r="D751" t="s">
        <v>2937</v>
      </c>
      <c r="E751" t="s">
        <v>2938</v>
      </c>
      <c r="F751" t="s">
        <v>15</v>
      </c>
      <c r="G751" t="s">
        <v>41</v>
      </c>
      <c r="H751">
        <v>113</v>
      </c>
      <c r="I751">
        <v>2019</v>
      </c>
      <c r="J751" t="s">
        <v>42</v>
      </c>
      <c r="K751">
        <v>14122</v>
      </c>
      <c r="L751" s="1">
        <v>43601</v>
      </c>
      <c r="M751" s="1" t="s">
        <v>3221</v>
      </c>
      <c r="N751" t="s">
        <v>2939</v>
      </c>
      <c r="O751" t="s">
        <v>3149</v>
      </c>
    </row>
    <row r="752" spans="1:15" x14ac:dyDescent="0.3">
      <c r="A752" t="s">
        <v>2940</v>
      </c>
      <c r="B752">
        <v>7</v>
      </c>
      <c r="C752" s="1">
        <v>45160</v>
      </c>
      <c r="D752" t="s">
        <v>2941</v>
      </c>
      <c r="E752" t="s">
        <v>2942</v>
      </c>
      <c r="F752" t="s">
        <v>15</v>
      </c>
      <c r="G752" t="s">
        <v>379</v>
      </c>
      <c r="H752">
        <v>88</v>
      </c>
      <c r="I752">
        <v>2020</v>
      </c>
      <c r="J752" t="s">
        <v>36</v>
      </c>
      <c r="K752">
        <v>25994</v>
      </c>
      <c r="L752" s="1">
        <v>44038</v>
      </c>
      <c r="M752" s="1" t="s">
        <v>3165</v>
      </c>
      <c r="N752" t="s">
        <v>2943</v>
      </c>
      <c r="O752" t="s">
        <v>3149</v>
      </c>
    </row>
    <row r="753" spans="1:15" x14ac:dyDescent="0.3">
      <c r="A753" t="s">
        <v>2944</v>
      </c>
      <c r="B753">
        <v>7</v>
      </c>
      <c r="C753" s="1">
        <v>44411</v>
      </c>
      <c r="D753" t="s">
        <v>2945</v>
      </c>
      <c r="E753" t="s">
        <v>2946</v>
      </c>
      <c r="F753" t="s">
        <v>22</v>
      </c>
      <c r="G753" t="s">
        <v>927</v>
      </c>
      <c r="H753">
        <v>339</v>
      </c>
      <c r="I753">
        <v>2020</v>
      </c>
      <c r="J753" t="s">
        <v>42</v>
      </c>
      <c r="K753">
        <v>84423</v>
      </c>
      <c r="L753" s="1">
        <v>43947</v>
      </c>
      <c r="M753" s="1" t="s">
        <v>3176</v>
      </c>
      <c r="N753" t="s">
        <v>3204</v>
      </c>
    </row>
    <row r="754" spans="1:15" x14ac:dyDescent="0.3">
      <c r="A754" t="s">
        <v>2953</v>
      </c>
      <c r="B754">
        <v>8</v>
      </c>
      <c r="C754" s="1">
        <v>44992</v>
      </c>
      <c r="D754" t="s">
        <v>2954</v>
      </c>
      <c r="E754" t="s">
        <v>2955</v>
      </c>
      <c r="F754" t="s">
        <v>15</v>
      </c>
      <c r="G754" t="s">
        <v>158</v>
      </c>
      <c r="H754">
        <v>121</v>
      </c>
      <c r="I754">
        <v>2021</v>
      </c>
      <c r="J754" t="s">
        <v>24</v>
      </c>
      <c r="K754">
        <v>73174</v>
      </c>
      <c r="L754" s="1">
        <v>44441</v>
      </c>
      <c r="M754" s="1" t="s">
        <v>3165</v>
      </c>
      <c r="N754" t="s">
        <v>2956</v>
      </c>
      <c r="O754" t="s">
        <v>3175</v>
      </c>
    </row>
    <row r="755" spans="1:15" x14ac:dyDescent="0.3">
      <c r="A755" t="s">
        <v>2962</v>
      </c>
      <c r="B755">
        <v>6</v>
      </c>
      <c r="C755" s="1">
        <v>44391</v>
      </c>
      <c r="D755" t="s">
        <v>2963</v>
      </c>
      <c r="E755" t="s">
        <v>2964</v>
      </c>
      <c r="F755" t="s">
        <v>15</v>
      </c>
      <c r="G755" t="s">
        <v>346</v>
      </c>
      <c r="H755">
        <v>77</v>
      </c>
      <c r="I755">
        <v>2019</v>
      </c>
      <c r="J755" t="s">
        <v>235</v>
      </c>
      <c r="K755">
        <v>356</v>
      </c>
      <c r="L755" s="1">
        <v>43568</v>
      </c>
      <c r="M755" s="1" t="s">
        <v>3165</v>
      </c>
      <c r="N755" t="s">
        <v>2965</v>
      </c>
      <c r="O755" t="s">
        <v>3149</v>
      </c>
    </row>
    <row r="756" spans="1:15" x14ac:dyDescent="0.3">
      <c r="A756" t="s">
        <v>2969</v>
      </c>
      <c r="B756">
        <v>6</v>
      </c>
      <c r="C756" s="1">
        <v>45170</v>
      </c>
      <c r="D756" t="s">
        <v>2970</v>
      </c>
      <c r="E756" t="s">
        <v>2971</v>
      </c>
      <c r="F756" t="s">
        <v>47</v>
      </c>
      <c r="G756" t="s">
        <v>461</v>
      </c>
      <c r="H756">
        <v>10</v>
      </c>
      <c r="I756">
        <v>2017</v>
      </c>
      <c r="J756" t="s">
        <v>199</v>
      </c>
      <c r="K756">
        <v>6</v>
      </c>
      <c r="L756" s="1">
        <v>42937</v>
      </c>
      <c r="M756" s="1" t="s">
        <v>3154</v>
      </c>
      <c r="N756" t="s">
        <v>1483</v>
      </c>
      <c r="O756" t="s">
        <v>3175</v>
      </c>
    </row>
    <row r="757" spans="1:15" x14ac:dyDescent="0.3">
      <c r="A757" t="s">
        <v>2976</v>
      </c>
      <c r="B757">
        <v>7</v>
      </c>
      <c r="C757" s="1">
        <v>44009</v>
      </c>
      <c r="D757" t="s">
        <v>2977</v>
      </c>
      <c r="E757" t="s">
        <v>2978</v>
      </c>
      <c r="F757" t="s">
        <v>15</v>
      </c>
      <c r="G757" t="s">
        <v>148</v>
      </c>
      <c r="H757">
        <v>115</v>
      </c>
      <c r="I757">
        <v>2019</v>
      </c>
      <c r="J757" t="s">
        <v>546</v>
      </c>
      <c r="K757">
        <v>19034</v>
      </c>
      <c r="L757" s="1">
        <v>43605</v>
      </c>
      <c r="M757" s="1" t="s">
        <v>3155</v>
      </c>
      <c r="N757" t="s">
        <v>2979</v>
      </c>
      <c r="O757" t="s">
        <v>3149</v>
      </c>
    </row>
    <row r="758" spans="1:15" x14ac:dyDescent="0.3">
      <c r="A758" t="s">
        <v>2980</v>
      </c>
      <c r="B758">
        <v>8</v>
      </c>
      <c r="C758" s="1">
        <v>45241</v>
      </c>
      <c r="D758" t="s">
        <v>2981</v>
      </c>
      <c r="E758" t="s">
        <v>2982</v>
      </c>
      <c r="F758" t="s">
        <v>15</v>
      </c>
      <c r="G758" t="s">
        <v>148</v>
      </c>
      <c r="H758">
        <v>106</v>
      </c>
      <c r="I758">
        <v>2023</v>
      </c>
      <c r="J758" t="s">
        <v>1855</v>
      </c>
      <c r="K758">
        <v>20864</v>
      </c>
      <c r="L758" s="1">
        <v>45039</v>
      </c>
      <c r="M758" s="1" t="s">
        <v>3165</v>
      </c>
      <c r="N758" t="s">
        <v>2983</v>
      </c>
      <c r="O758" t="s">
        <v>3175</v>
      </c>
    </row>
    <row r="759" spans="1:15" x14ac:dyDescent="0.3">
      <c r="A759" t="s">
        <v>2987</v>
      </c>
      <c r="B759">
        <v>7</v>
      </c>
      <c r="C759" s="1">
        <v>44639</v>
      </c>
      <c r="D759" t="s">
        <v>2988</v>
      </c>
      <c r="E759" t="s">
        <v>2989</v>
      </c>
      <c r="F759" t="s">
        <v>15</v>
      </c>
      <c r="G759" t="s">
        <v>158</v>
      </c>
      <c r="H759">
        <v>124</v>
      </c>
      <c r="I759">
        <v>2020</v>
      </c>
      <c r="J759" t="s">
        <v>17</v>
      </c>
      <c r="K759">
        <v>60859</v>
      </c>
      <c r="L759" s="1">
        <v>43874</v>
      </c>
      <c r="M759" s="1" t="s">
        <v>3171</v>
      </c>
      <c r="N759" t="s">
        <v>2990</v>
      </c>
      <c r="O759" t="s">
        <v>3175</v>
      </c>
    </row>
    <row r="760" spans="1:15" x14ac:dyDescent="0.3">
      <c r="A760" t="s">
        <v>2994</v>
      </c>
      <c r="B760">
        <v>3</v>
      </c>
      <c r="C760" s="1">
        <v>44422</v>
      </c>
      <c r="D760" t="s">
        <v>2995</v>
      </c>
      <c r="E760" t="s">
        <v>2996</v>
      </c>
      <c r="F760" t="s">
        <v>15</v>
      </c>
      <c r="G760" t="s">
        <v>524</v>
      </c>
      <c r="H760">
        <v>130</v>
      </c>
      <c r="I760">
        <v>2021</v>
      </c>
      <c r="J760" t="s">
        <v>2997</v>
      </c>
      <c r="K760">
        <v>113245</v>
      </c>
      <c r="L760" s="1">
        <v>44406</v>
      </c>
      <c r="M760" s="1" t="s">
        <v>3165</v>
      </c>
      <c r="N760" t="s">
        <v>2998</v>
      </c>
      <c r="O760" t="s">
        <v>3149</v>
      </c>
    </row>
    <row r="761" spans="1:15" x14ac:dyDescent="0.3">
      <c r="A761" t="s">
        <v>3003</v>
      </c>
      <c r="B761">
        <v>9</v>
      </c>
      <c r="C761" s="1">
        <v>43975</v>
      </c>
      <c r="D761" t="s">
        <v>3004</v>
      </c>
      <c r="E761" t="s">
        <v>3005</v>
      </c>
      <c r="F761" t="s">
        <v>47</v>
      </c>
      <c r="G761" t="s">
        <v>16</v>
      </c>
      <c r="H761">
        <v>27</v>
      </c>
      <c r="I761">
        <v>2015</v>
      </c>
      <c r="J761" t="s">
        <v>199</v>
      </c>
      <c r="K761">
        <v>37</v>
      </c>
      <c r="L761" s="1">
        <v>42306</v>
      </c>
      <c r="M761" s="1" t="s">
        <v>3154</v>
      </c>
      <c r="N761" t="s">
        <v>3006</v>
      </c>
    </row>
    <row r="762" spans="1:15" x14ac:dyDescent="0.3">
      <c r="A762" t="s">
        <v>3010</v>
      </c>
      <c r="B762">
        <v>7</v>
      </c>
      <c r="C762" s="1">
        <v>44475</v>
      </c>
      <c r="D762" t="s">
        <v>3011</v>
      </c>
      <c r="E762" t="s">
        <v>3012</v>
      </c>
      <c r="F762" t="s">
        <v>47</v>
      </c>
      <c r="G762" t="s">
        <v>158</v>
      </c>
      <c r="H762">
        <v>15</v>
      </c>
      <c r="I762">
        <v>2019</v>
      </c>
      <c r="J762" t="s">
        <v>597</v>
      </c>
      <c r="K762">
        <v>94</v>
      </c>
      <c r="L762" s="1">
        <v>43748</v>
      </c>
      <c r="M762" s="1" t="s">
        <v>3171</v>
      </c>
      <c r="N762" t="s">
        <v>3013</v>
      </c>
      <c r="O762" t="s">
        <v>3175</v>
      </c>
    </row>
    <row r="763" spans="1:15" x14ac:dyDescent="0.3">
      <c r="A763" t="s">
        <v>3014</v>
      </c>
      <c r="B763">
        <v>7</v>
      </c>
      <c r="C763" s="1">
        <v>45096</v>
      </c>
      <c r="D763" t="s">
        <v>3015</v>
      </c>
      <c r="E763" t="s">
        <v>3016</v>
      </c>
      <c r="F763" t="s">
        <v>15</v>
      </c>
      <c r="G763" t="s">
        <v>116</v>
      </c>
      <c r="H763">
        <v>90</v>
      </c>
      <c r="I763">
        <v>2021</v>
      </c>
      <c r="J763" t="s">
        <v>123</v>
      </c>
      <c r="K763">
        <v>143911</v>
      </c>
      <c r="L763" s="1">
        <v>44450</v>
      </c>
      <c r="M763" s="1" t="s">
        <v>3165</v>
      </c>
      <c r="N763" t="s">
        <v>3017</v>
      </c>
      <c r="O763" t="s">
        <v>3149</v>
      </c>
    </row>
    <row r="764" spans="1:15" x14ac:dyDescent="0.3">
      <c r="A764" t="s">
        <v>3018</v>
      </c>
      <c r="B764">
        <v>7</v>
      </c>
      <c r="C764" s="1">
        <v>43851</v>
      </c>
      <c r="D764" t="s">
        <v>3019</v>
      </c>
      <c r="E764" t="s">
        <v>3020</v>
      </c>
      <c r="F764" t="s">
        <v>15</v>
      </c>
      <c r="G764" t="s">
        <v>16</v>
      </c>
      <c r="H764">
        <v>96</v>
      </c>
      <c r="I764">
        <v>2019</v>
      </c>
      <c r="J764" t="s">
        <v>24</v>
      </c>
      <c r="K764">
        <v>1914</v>
      </c>
      <c r="L764" s="1">
        <v>43607</v>
      </c>
      <c r="M764" s="1" t="s">
        <v>3154</v>
      </c>
      <c r="N764" t="s">
        <v>1650</v>
      </c>
      <c r="O764" t="s">
        <v>3149</v>
      </c>
    </row>
    <row r="765" spans="1:15" x14ac:dyDescent="0.3">
      <c r="A765" t="s">
        <v>3021</v>
      </c>
      <c r="B765">
        <v>6</v>
      </c>
      <c r="C765" s="1">
        <v>44735</v>
      </c>
      <c r="D765" t="s">
        <v>3022</v>
      </c>
      <c r="E765" t="s">
        <v>3023</v>
      </c>
      <c r="F765" t="s">
        <v>47</v>
      </c>
      <c r="G765" t="s">
        <v>73</v>
      </c>
      <c r="H765">
        <v>14</v>
      </c>
      <c r="I765">
        <v>2014</v>
      </c>
      <c r="J765" t="s">
        <v>297</v>
      </c>
      <c r="K765">
        <v>20</v>
      </c>
      <c r="L765" s="1">
        <v>41940</v>
      </c>
      <c r="M765" s="1" t="s">
        <v>3154</v>
      </c>
      <c r="N765" t="s">
        <v>1650</v>
      </c>
      <c r="O765" t="s">
        <v>3149</v>
      </c>
    </row>
    <row r="766" spans="1:15" x14ac:dyDescent="0.3">
      <c r="A766" t="s">
        <v>3029</v>
      </c>
      <c r="B766">
        <v>6</v>
      </c>
      <c r="C766" s="1">
        <v>45016</v>
      </c>
      <c r="D766" t="s">
        <v>3030</v>
      </c>
      <c r="E766" t="s">
        <v>3031</v>
      </c>
      <c r="F766" t="s">
        <v>15</v>
      </c>
      <c r="G766" t="s">
        <v>56</v>
      </c>
      <c r="H766">
        <v>107</v>
      </c>
      <c r="I766">
        <v>2022</v>
      </c>
      <c r="J766" t="s">
        <v>3032</v>
      </c>
      <c r="K766">
        <v>2898</v>
      </c>
      <c r="L766" s="1">
        <v>44702</v>
      </c>
      <c r="M766" s="1" t="s">
        <v>3154</v>
      </c>
      <c r="N766" t="s">
        <v>3033</v>
      </c>
      <c r="O766" t="s">
        <v>3149</v>
      </c>
    </row>
    <row r="767" spans="1:15" x14ac:dyDescent="0.3">
      <c r="A767" t="s">
        <v>3041</v>
      </c>
      <c r="B767">
        <v>7</v>
      </c>
      <c r="C767" s="1">
        <v>45169</v>
      </c>
      <c r="D767" s="3" t="s">
        <v>3042</v>
      </c>
      <c r="E767" t="s">
        <v>3043</v>
      </c>
      <c r="F767" t="s">
        <v>47</v>
      </c>
      <c r="G767" t="s">
        <v>16</v>
      </c>
      <c r="H767">
        <v>7</v>
      </c>
      <c r="I767">
        <v>2016</v>
      </c>
      <c r="J767" t="s">
        <v>199</v>
      </c>
      <c r="K767">
        <v>12</v>
      </c>
      <c r="L767" s="1">
        <v>42571</v>
      </c>
      <c r="M767" s="1" t="s">
        <v>3154</v>
      </c>
      <c r="N767" t="s">
        <v>3044</v>
      </c>
      <c r="O767" t="s">
        <v>3149</v>
      </c>
    </row>
    <row r="768" spans="1:15" x14ac:dyDescent="0.3">
      <c r="A768" t="s">
        <v>3045</v>
      </c>
      <c r="B768">
        <v>7</v>
      </c>
      <c r="C768" s="1">
        <v>44333</v>
      </c>
      <c r="D768" t="s">
        <v>3046</v>
      </c>
      <c r="E768" t="s">
        <v>3047</v>
      </c>
      <c r="F768" t="s">
        <v>15</v>
      </c>
      <c r="G768" t="s">
        <v>148</v>
      </c>
      <c r="H768">
        <v>90</v>
      </c>
      <c r="I768">
        <v>2020</v>
      </c>
      <c r="J768" t="s">
        <v>3048</v>
      </c>
      <c r="K768">
        <v>177646</v>
      </c>
      <c r="L768" s="1">
        <v>43856</v>
      </c>
      <c r="M768" s="1" t="s">
        <v>3165</v>
      </c>
      <c r="N768" t="s">
        <v>3049</v>
      </c>
      <c r="O768" t="s">
        <v>3149</v>
      </c>
    </row>
    <row r="769" spans="1:15" x14ac:dyDescent="0.3">
      <c r="A769" t="s">
        <v>3056</v>
      </c>
      <c r="B769">
        <v>7</v>
      </c>
      <c r="C769" s="1">
        <v>44427</v>
      </c>
      <c r="D769" t="s">
        <v>3057</v>
      </c>
      <c r="E769" t="s">
        <v>3058</v>
      </c>
      <c r="F769" t="s">
        <v>15</v>
      </c>
      <c r="G769" t="s">
        <v>41</v>
      </c>
      <c r="H769">
        <v>90</v>
      </c>
      <c r="I769">
        <v>2021</v>
      </c>
      <c r="J769" t="s">
        <v>96</v>
      </c>
      <c r="K769">
        <v>20</v>
      </c>
      <c r="L769" s="1">
        <v>44426</v>
      </c>
      <c r="M769" s="1" t="s">
        <v>3154</v>
      </c>
      <c r="N769" t="s">
        <v>3059</v>
      </c>
      <c r="O769" t="s">
        <v>3149</v>
      </c>
    </row>
    <row r="770" spans="1:15" x14ac:dyDescent="0.3">
      <c r="A770" t="s">
        <v>3070</v>
      </c>
      <c r="B770">
        <v>6</v>
      </c>
      <c r="C770" s="1">
        <v>44607</v>
      </c>
      <c r="D770" t="s">
        <v>3071</v>
      </c>
      <c r="E770" t="s">
        <v>3072</v>
      </c>
      <c r="F770" t="s">
        <v>15</v>
      </c>
      <c r="G770" t="s">
        <v>56</v>
      </c>
      <c r="H770">
        <v>144</v>
      </c>
      <c r="I770">
        <v>2021</v>
      </c>
      <c r="J770" t="s">
        <v>3073</v>
      </c>
      <c r="K770">
        <v>130928</v>
      </c>
      <c r="L770" s="1">
        <v>44441</v>
      </c>
      <c r="M770" s="1" t="s">
        <v>3165</v>
      </c>
      <c r="N770" t="s">
        <v>3074</v>
      </c>
      <c r="O770" t="s">
        <v>3149</v>
      </c>
    </row>
    <row r="771" spans="1:15" x14ac:dyDescent="0.3">
      <c r="A771" t="s">
        <v>3075</v>
      </c>
      <c r="B771">
        <v>7</v>
      </c>
      <c r="C771" s="1">
        <v>44253</v>
      </c>
      <c r="D771" t="s">
        <v>3076</v>
      </c>
      <c r="E771" t="s">
        <v>3077</v>
      </c>
      <c r="F771" t="s">
        <v>15</v>
      </c>
      <c r="G771" t="s">
        <v>56</v>
      </c>
      <c r="H771">
        <v>113</v>
      </c>
      <c r="I771">
        <v>2020</v>
      </c>
      <c r="J771" t="s">
        <v>409</v>
      </c>
      <c r="K771">
        <v>202570</v>
      </c>
      <c r="L771" s="1">
        <v>43855</v>
      </c>
      <c r="M771" s="1" t="s">
        <v>3165</v>
      </c>
      <c r="N771" t="s">
        <v>1095</v>
      </c>
      <c r="O771" t="s">
        <v>3149</v>
      </c>
    </row>
    <row r="772" spans="1:15" x14ac:dyDescent="0.3">
      <c r="A772" t="s">
        <v>3078</v>
      </c>
      <c r="B772">
        <v>7</v>
      </c>
      <c r="C772" s="1">
        <v>44505</v>
      </c>
      <c r="D772" t="s">
        <v>3079</v>
      </c>
      <c r="E772" t="s">
        <v>3080</v>
      </c>
      <c r="F772" t="s">
        <v>15</v>
      </c>
      <c r="G772" t="s">
        <v>95</v>
      </c>
      <c r="H772">
        <v>116</v>
      </c>
      <c r="I772">
        <v>2021</v>
      </c>
      <c r="J772" t="s">
        <v>2277</v>
      </c>
      <c r="K772">
        <v>169461</v>
      </c>
      <c r="L772" s="1">
        <v>44443</v>
      </c>
      <c r="M772" s="1" t="s">
        <v>3165</v>
      </c>
      <c r="N772" t="s">
        <v>1988</v>
      </c>
      <c r="O772" t="s">
        <v>3149</v>
      </c>
    </row>
    <row r="773" spans="1:15" x14ac:dyDescent="0.3">
      <c r="A773" t="s">
        <v>3102</v>
      </c>
      <c r="B773">
        <v>7</v>
      </c>
      <c r="C773" s="1">
        <v>44450</v>
      </c>
      <c r="D773" t="s">
        <v>3103</v>
      </c>
      <c r="E773" t="s">
        <v>3104</v>
      </c>
      <c r="F773" t="s">
        <v>47</v>
      </c>
      <c r="G773" t="s">
        <v>158</v>
      </c>
      <c r="H773">
        <v>37</v>
      </c>
      <c r="I773">
        <v>2018</v>
      </c>
      <c r="J773" t="s">
        <v>48</v>
      </c>
      <c r="K773">
        <v>8</v>
      </c>
      <c r="L773" s="1">
        <v>43185</v>
      </c>
      <c r="M773" s="1" t="s">
        <v>3154</v>
      </c>
      <c r="N773" t="s">
        <v>3105</v>
      </c>
      <c r="O773" t="s">
        <v>3149</v>
      </c>
    </row>
    <row r="774" spans="1:15" x14ac:dyDescent="0.3">
      <c r="A774" t="s">
        <v>3109</v>
      </c>
      <c r="B774">
        <v>6</v>
      </c>
      <c r="C774" s="1">
        <v>44940</v>
      </c>
      <c r="D774" t="s">
        <v>3110</v>
      </c>
      <c r="E774" t="s">
        <v>3111</v>
      </c>
      <c r="F774" t="s">
        <v>15</v>
      </c>
      <c r="G774" t="s">
        <v>79</v>
      </c>
      <c r="H774">
        <v>107</v>
      </c>
      <c r="I774">
        <v>2022</v>
      </c>
      <c r="J774" t="s">
        <v>932</v>
      </c>
      <c r="K774">
        <v>368432</v>
      </c>
      <c r="L774" s="1">
        <v>44814</v>
      </c>
      <c r="M774" s="1" t="s">
        <v>3165</v>
      </c>
      <c r="N774" t="s">
        <v>3112</v>
      </c>
      <c r="O774" t="s">
        <v>3149</v>
      </c>
    </row>
    <row r="775" spans="1:15" x14ac:dyDescent="0.3">
      <c r="A775" t="s">
        <v>3117</v>
      </c>
      <c r="B775">
        <v>7</v>
      </c>
      <c r="C775" s="1">
        <v>44204</v>
      </c>
      <c r="D775" t="s">
        <v>3118</v>
      </c>
      <c r="E775" t="s">
        <v>3119</v>
      </c>
      <c r="F775" t="s">
        <v>22</v>
      </c>
      <c r="G775" t="s">
        <v>56</v>
      </c>
      <c r="H775">
        <v>347</v>
      </c>
      <c r="I775">
        <v>2020</v>
      </c>
      <c r="J775" t="s">
        <v>1023</v>
      </c>
      <c r="K775">
        <v>40007</v>
      </c>
      <c r="L775" s="1">
        <v>43884</v>
      </c>
      <c r="M775" s="1" t="s">
        <v>3165</v>
      </c>
      <c r="N775" t="s">
        <v>25</v>
      </c>
      <c r="O775" t="s">
        <v>3149</v>
      </c>
    </row>
    <row r="776" spans="1:15" x14ac:dyDescent="0.3">
      <c r="B776">
        <v>7</v>
      </c>
      <c r="C776" s="1">
        <v>45261</v>
      </c>
      <c r="D776" t="s">
        <v>3148</v>
      </c>
      <c r="H776">
        <v>56</v>
      </c>
      <c r="I776">
        <v>1988</v>
      </c>
      <c r="M776" s="1" t="s">
        <v>3169</v>
      </c>
      <c r="N776" t="s">
        <v>3170</v>
      </c>
      <c r="O776" t="s">
        <v>3175</v>
      </c>
    </row>
    <row r="777" spans="1:15" x14ac:dyDescent="0.3">
      <c r="B777">
        <v>6</v>
      </c>
      <c r="C777" s="1">
        <v>45226</v>
      </c>
      <c r="D777" t="s">
        <v>3146</v>
      </c>
      <c r="H777">
        <v>30</v>
      </c>
      <c r="I777">
        <v>2023</v>
      </c>
      <c r="J777" t="s">
        <v>96</v>
      </c>
      <c r="M777" s="1" t="s">
        <v>3155</v>
      </c>
      <c r="N777" t="s">
        <v>3157</v>
      </c>
      <c r="O777" t="s">
        <v>3149</v>
      </c>
    </row>
    <row r="778" spans="1:15" x14ac:dyDescent="0.3">
      <c r="B778">
        <v>7</v>
      </c>
      <c r="C778" s="1">
        <v>45276</v>
      </c>
      <c r="D778" t="s">
        <v>3151</v>
      </c>
      <c r="H778">
        <v>30</v>
      </c>
      <c r="I778">
        <v>1995</v>
      </c>
      <c r="J778" t="s">
        <v>96</v>
      </c>
      <c r="M778" s="1" t="s">
        <v>3154</v>
      </c>
      <c r="N778" t="s">
        <v>3152</v>
      </c>
      <c r="O778" t="s">
        <v>3149</v>
      </c>
    </row>
    <row r="779" spans="1:15" x14ac:dyDescent="0.3">
      <c r="B779">
        <v>4</v>
      </c>
      <c r="C779" s="1">
        <v>45170</v>
      </c>
      <c r="D779" t="s">
        <v>3144</v>
      </c>
      <c r="H779">
        <v>29</v>
      </c>
      <c r="I779">
        <v>2017</v>
      </c>
      <c r="J779" t="s">
        <v>96</v>
      </c>
      <c r="M779" s="1" t="s">
        <v>3154</v>
      </c>
      <c r="N779" t="s">
        <v>3156</v>
      </c>
      <c r="O779" t="s">
        <v>3149</v>
      </c>
    </row>
    <row r="780" spans="1:15" x14ac:dyDescent="0.3">
      <c r="B780">
        <v>7</v>
      </c>
      <c r="C780" s="1">
        <v>45228</v>
      </c>
      <c r="D780" t="s">
        <v>3147</v>
      </c>
      <c r="H780">
        <v>19</v>
      </c>
      <c r="I780">
        <v>2023</v>
      </c>
      <c r="J780" t="s">
        <v>96</v>
      </c>
      <c r="M780" s="1" t="s">
        <v>3159</v>
      </c>
      <c r="N780" t="s">
        <v>3158</v>
      </c>
      <c r="O780" t="s">
        <v>3175</v>
      </c>
    </row>
    <row r="781" spans="1:15" x14ac:dyDescent="0.3">
      <c r="B781">
        <v>7</v>
      </c>
      <c r="C781" s="1">
        <v>45226</v>
      </c>
      <c r="D781" t="s">
        <v>3145</v>
      </c>
      <c r="H781">
        <v>17</v>
      </c>
      <c r="I781">
        <v>2023</v>
      </c>
      <c r="J781" t="s">
        <v>3162</v>
      </c>
      <c r="M781" s="1" t="s">
        <v>3161</v>
      </c>
      <c r="N781" t="s">
        <v>3160</v>
      </c>
      <c r="O781" t="s">
        <v>3175</v>
      </c>
    </row>
    <row r="782" spans="1:15" x14ac:dyDescent="0.3">
      <c r="B782">
        <v>7</v>
      </c>
      <c r="C782" s="1">
        <v>45228</v>
      </c>
      <c r="D782" t="s">
        <v>3167</v>
      </c>
      <c r="H782">
        <v>14</v>
      </c>
      <c r="I782">
        <v>2023</v>
      </c>
      <c r="J782" t="s">
        <v>96</v>
      </c>
      <c r="M782" s="1" t="s">
        <v>3165</v>
      </c>
      <c r="N782" t="s">
        <v>3168</v>
      </c>
      <c r="O782" t="s">
        <v>3175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EC32D6-0CE8-456F-957C-B920700AB969}">
  <dimension ref="A1:O782"/>
  <sheetViews>
    <sheetView tabSelected="1" workbookViewId="0">
      <selection activeCell="J14" sqref="J14"/>
    </sheetView>
  </sheetViews>
  <sheetFormatPr defaultRowHeight="14.4" x14ac:dyDescent="0.3"/>
  <cols>
    <col min="1" max="1" width="10.33203125" bestFit="1" customWidth="1"/>
    <col min="2" max="2" width="12.88671875" bestFit="1" customWidth="1"/>
    <col min="3" max="3" width="12.44140625" style="1" bestFit="1" customWidth="1"/>
    <col min="4" max="4" width="37.6640625" customWidth="1"/>
    <col min="5" max="5" width="11.44140625" customWidth="1"/>
    <col min="6" max="6" width="11.33203125" customWidth="1"/>
    <col min="7" max="7" width="6.5546875" customWidth="1"/>
    <col min="8" max="8" width="8.109375" customWidth="1"/>
    <col min="9" max="9" width="6.88671875" customWidth="1"/>
    <col min="10" max="10" width="26.5546875" customWidth="1"/>
    <col min="11" max="11" width="12.5546875" customWidth="1"/>
    <col min="12" max="13" width="13.88671875" style="1" customWidth="1"/>
    <col min="14" max="14" width="37.5546875" customWidth="1"/>
    <col min="15" max="15" width="1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3226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3153</v>
      </c>
      <c r="N1" t="s">
        <v>11</v>
      </c>
      <c r="O1" t="s">
        <v>3174</v>
      </c>
    </row>
    <row r="2" spans="1:15" x14ac:dyDescent="0.3">
      <c r="A2">
        <f>AVERAGE(imdb_ratings3[[#All],[Your Rating]])</f>
        <v>6.7221510883482711</v>
      </c>
      <c r="B2">
        <v>9</v>
      </c>
      <c r="C2" s="1">
        <v>43415</v>
      </c>
      <c r="D2" t="s">
        <v>282</v>
      </c>
      <c r="E2" t="s">
        <v>283</v>
      </c>
      <c r="F2" t="s">
        <v>216</v>
      </c>
      <c r="G2" t="s">
        <v>284</v>
      </c>
      <c r="H2">
        <v>5280</v>
      </c>
      <c r="I2">
        <v>1994</v>
      </c>
      <c r="J2" t="s">
        <v>225</v>
      </c>
      <c r="K2">
        <v>1066023</v>
      </c>
      <c r="L2" s="1">
        <v>34599</v>
      </c>
      <c r="M2" s="1" t="s">
        <v>3165</v>
      </c>
      <c r="N2" t="s">
        <v>3215</v>
      </c>
    </row>
    <row r="3" spans="1:15" x14ac:dyDescent="0.3">
      <c r="A3">
        <f>AVERAGE(imdb_ratings3[Your Rating])</f>
        <v>6.7221510883482711</v>
      </c>
      <c r="B3">
        <v>6</v>
      </c>
      <c r="C3" s="1">
        <v>45185</v>
      </c>
      <c r="D3" t="s">
        <v>2966</v>
      </c>
      <c r="E3" t="s">
        <v>2967</v>
      </c>
      <c r="F3" t="s">
        <v>47</v>
      </c>
      <c r="G3" t="s">
        <v>25</v>
      </c>
      <c r="H3">
        <v>9</v>
      </c>
      <c r="I3">
        <v>2018</v>
      </c>
      <c r="J3" t="s">
        <v>48</v>
      </c>
      <c r="L3" s="1">
        <v>43251</v>
      </c>
      <c r="M3" s="1" t="s">
        <v>3154</v>
      </c>
      <c r="N3" t="s">
        <v>2968</v>
      </c>
      <c r="O3" t="s">
        <v>3149</v>
      </c>
    </row>
    <row r="4" spans="1:15" x14ac:dyDescent="0.3">
      <c r="A4" t="s">
        <v>1910</v>
      </c>
      <c r="B4">
        <v>6</v>
      </c>
      <c r="C4" s="1">
        <v>45113</v>
      </c>
      <c r="D4" t="s">
        <v>1911</v>
      </c>
      <c r="E4" t="s">
        <v>1912</v>
      </c>
      <c r="F4" t="s">
        <v>47</v>
      </c>
      <c r="G4" t="s">
        <v>369</v>
      </c>
      <c r="H4">
        <v>13</v>
      </c>
      <c r="I4">
        <v>1902</v>
      </c>
      <c r="J4" t="s">
        <v>1913</v>
      </c>
      <c r="K4">
        <v>54542</v>
      </c>
      <c r="L4" s="1">
        <v>975</v>
      </c>
      <c r="M4" s="1" t="s">
        <v>3155</v>
      </c>
      <c r="N4" t="s">
        <v>1914</v>
      </c>
      <c r="O4" t="s">
        <v>3149</v>
      </c>
    </row>
    <row r="5" spans="1:15" x14ac:dyDescent="0.3">
      <c r="A5" t="s">
        <v>949</v>
      </c>
      <c r="B5">
        <v>7</v>
      </c>
      <c r="C5" s="1">
        <v>44823</v>
      </c>
      <c r="D5" t="s">
        <v>950</v>
      </c>
      <c r="E5" t="s">
        <v>951</v>
      </c>
      <c r="F5" t="s">
        <v>15</v>
      </c>
      <c r="G5" t="s">
        <v>143</v>
      </c>
      <c r="H5">
        <v>75</v>
      </c>
      <c r="I5">
        <v>1925</v>
      </c>
      <c r="J5" t="s">
        <v>952</v>
      </c>
      <c r="K5">
        <v>60732</v>
      </c>
      <c r="L5" s="1">
        <v>9448</v>
      </c>
      <c r="M5" s="1" t="s">
        <v>3163</v>
      </c>
      <c r="N5" t="s">
        <v>953</v>
      </c>
      <c r="O5" t="s">
        <v>3149</v>
      </c>
    </row>
    <row r="6" spans="1:15" x14ac:dyDescent="0.3">
      <c r="A6" t="s">
        <v>1074</v>
      </c>
      <c r="B6">
        <v>6</v>
      </c>
      <c r="C6" s="1">
        <v>45116</v>
      </c>
      <c r="D6" t="s">
        <v>1075</v>
      </c>
      <c r="E6" t="s">
        <v>1076</v>
      </c>
      <c r="F6" t="s">
        <v>15</v>
      </c>
      <c r="G6" t="s">
        <v>187</v>
      </c>
      <c r="H6">
        <v>153</v>
      </c>
      <c r="I6">
        <v>1927</v>
      </c>
      <c r="J6" t="s">
        <v>462</v>
      </c>
      <c r="K6">
        <v>182796</v>
      </c>
      <c r="L6" s="1">
        <v>9872</v>
      </c>
      <c r="M6" s="1" t="s">
        <v>3180</v>
      </c>
      <c r="N6" t="s">
        <v>1077</v>
      </c>
      <c r="O6" t="s">
        <v>3149</v>
      </c>
    </row>
    <row r="7" spans="1:15" x14ac:dyDescent="0.3">
      <c r="A7" t="s">
        <v>1202</v>
      </c>
      <c r="B7">
        <v>5</v>
      </c>
      <c r="C7" s="1">
        <v>44314</v>
      </c>
      <c r="D7" t="s">
        <v>1203</v>
      </c>
      <c r="E7" t="s">
        <v>1204</v>
      </c>
      <c r="F7" t="s">
        <v>15</v>
      </c>
      <c r="G7" t="s">
        <v>198</v>
      </c>
      <c r="H7">
        <v>68</v>
      </c>
      <c r="I7">
        <v>1928</v>
      </c>
      <c r="J7" t="s">
        <v>517</v>
      </c>
      <c r="K7">
        <v>1138</v>
      </c>
      <c r="L7" s="1">
        <v>10294</v>
      </c>
      <c r="M7" s="1" t="s">
        <v>3179</v>
      </c>
      <c r="N7" t="s">
        <v>1205</v>
      </c>
      <c r="O7" t="s">
        <v>3149</v>
      </c>
    </row>
    <row r="8" spans="1:15" x14ac:dyDescent="0.3">
      <c r="A8" t="s">
        <v>1209</v>
      </c>
      <c r="B8">
        <v>7</v>
      </c>
      <c r="C8" s="1">
        <v>44200</v>
      </c>
      <c r="D8" t="s">
        <v>1210</v>
      </c>
      <c r="E8" t="s">
        <v>1211</v>
      </c>
      <c r="F8" t="s">
        <v>15</v>
      </c>
      <c r="G8" t="s">
        <v>187</v>
      </c>
      <c r="H8">
        <v>68</v>
      </c>
      <c r="I8">
        <v>1929</v>
      </c>
      <c r="J8" t="s">
        <v>96</v>
      </c>
      <c r="K8">
        <v>27486</v>
      </c>
      <c r="L8" s="1">
        <v>10601</v>
      </c>
      <c r="M8" s="1" t="s">
        <v>3179</v>
      </c>
      <c r="N8" t="s">
        <v>1212</v>
      </c>
      <c r="O8" t="s">
        <v>3149</v>
      </c>
    </row>
    <row r="9" spans="1:15" x14ac:dyDescent="0.3">
      <c r="A9" t="s">
        <v>1229</v>
      </c>
      <c r="B9">
        <v>7</v>
      </c>
      <c r="C9" s="1">
        <v>45164</v>
      </c>
      <c r="D9" t="s">
        <v>1230</v>
      </c>
      <c r="E9" t="s">
        <v>1231</v>
      </c>
      <c r="F9" t="s">
        <v>47</v>
      </c>
      <c r="G9" t="s">
        <v>41</v>
      </c>
      <c r="H9">
        <v>16</v>
      </c>
      <c r="I9">
        <v>1929</v>
      </c>
      <c r="J9" t="s">
        <v>1232</v>
      </c>
      <c r="K9">
        <v>53103</v>
      </c>
      <c r="L9" s="1">
        <v>10750</v>
      </c>
      <c r="M9" s="1" t="s">
        <v>3155</v>
      </c>
      <c r="N9" t="s">
        <v>1233</v>
      </c>
      <c r="O9" t="s">
        <v>3149</v>
      </c>
    </row>
    <row r="10" spans="1:15" x14ac:dyDescent="0.3">
      <c r="A10" t="s">
        <v>1273</v>
      </c>
      <c r="B10">
        <v>7</v>
      </c>
      <c r="C10" s="1">
        <v>44176</v>
      </c>
      <c r="D10" t="s">
        <v>1274</v>
      </c>
      <c r="E10" t="s">
        <v>1275</v>
      </c>
      <c r="F10" t="s">
        <v>15</v>
      </c>
      <c r="G10" t="s">
        <v>67</v>
      </c>
      <c r="H10">
        <v>67</v>
      </c>
      <c r="I10">
        <v>1930</v>
      </c>
      <c r="J10" t="s">
        <v>96</v>
      </c>
      <c r="K10">
        <v>1023</v>
      </c>
      <c r="L10" s="1">
        <v>11268</v>
      </c>
      <c r="M10" s="1" t="s">
        <v>3179</v>
      </c>
      <c r="N10" t="s">
        <v>1212</v>
      </c>
      <c r="O10" t="s">
        <v>3149</v>
      </c>
    </row>
    <row r="11" spans="1:15" x14ac:dyDescent="0.3">
      <c r="A11" t="s">
        <v>1280</v>
      </c>
      <c r="B11">
        <v>7</v>
      </c>
      <c r="C11" s="1">
        <v>44144</v>
      </c>
      <c r="D11" t="s">
        <v>1281</v>
      </c>
      <c r="E11" t="s">
        <v>1282</v>
      </c>
      <c r="F11" t="s">
        <v>15</v>
      </c>
      <c r="G11" t="s">
        <v>79</v>
      </c>
      <c r="H11">
        <v>75</v>
      </c>
      <c r="I11">
        <v>1930</v>
      </c>
      <c r="J11" t="s">
        <v>24</v>
      </c>
      <c r="K11">
        <v>6290</v>
      </c>
      <c r="L11" s="1">
        <v>11056</v>
      </c>
      <c r="M11" s="1" t="s">
        <v>3179</v>
      </c>
      <c r="N11" t="s">
        <v>1205</v>
      </c>
      <c r="O11" t="s">
        <v>3149</v>
      </c>
    </row>
    <row r="12" spans="1:15" x14ac:dyDescent="0.3">
      <c r="A12" t="s">
        <v>1313</v>
      </c>
      <c r="B12">
        <v>7</v>
      </c>
      <c r="C12" s="1">
        <v>45291</v>
      </c>
      <c r="D12" t="s">
        <v>1314</v>
      </c>
      <c r="E12" t="s">
        <v>1315</v>
      </c>
      <c r="F12" t="s">
        <v>15</v>
      </c>
      <c r="G12" t="s">
        <v>187</v>
      </c>
      <c r="H12">
        <v>117</v>
      </c>
      <c r="I12">
        <v>1931</v>
      </c>
      <c r="J12" t="s">
        <v>1316</v>
      </c>
      <c r="K12">
        <v>166126</v>
      </c>
      <c r="L12" s="1">
        <v>11454</v>
      </c>
      <c r="M12" s="1" t="s">
        <v>3180</v>
      </c>
      <c r="N12" t="s">
        <v>1077</v>
      </c>
      <c r="O12" t="s">
        <v>3149</v>
      </c>
    </row>
    <row r="13" spans="1:15" x14ac:dyDescent="0.3">
      <c r="A13" t="s">
        <v>1359</v>
      </c>
      <c r="B13">
        <v>5</v>
      </c>
      <c r="C13" s="1">
        <v>44984</v>
      </c>
      <c r="D13" t="s">
        <v>1360</v>
      </c>
      <c r="E13" t="s">
        <v>1361</v>
      </c>
      <c r="F13" t="s">
        <v>15</v>
      </c>
      <c r="G13" t="s">
        <v>16</v>
      </c>
      <c r="H13">
        <v>82</v>
      </c>
      <c r="I13">
        <v>1932</v>
      </c>
      <c r="J13" t="s">
        <v>1362</v>
      </c>
      <c r="K13">
        <v>10110</v>
      </c>
      <c r="L13" s="1">
        <v>11723</v>
      </c>
      <c r="M13" s="1" t="s">
        <v>3165</v>
      </c>
      <c r="N13" t="s">
        <v>1363</v>
      </c>
      <c r="O13" t="s">
        <v>3149</v>
      </c>
    </row>
    <row r="14" spans="1:15" x14ac:dyDescent="0.3">
      <c r="A14" t="s">
        <v>1475</v>
      </c>
      <c r="B14">
        <v>7</v>
      </c>
      <c r="C14" s="1">
        <v>44324</v>
      </c>
      <c r="D14" t="s">
        <v>1476</v>
      </c>
      <c r="E14" t="s">
        <v>1477</v>
      </c>
      <c r="F14" t="s">
        <v>15</v>
      </c>
      <c r="G14" t="s">
        <v>143</v>
      </c>
      <c r="H14">
        <v>91</v>
      </c>
      <c r="I14">
        <v>1934</v>
      </c>
      <c r="J14" t="s">
        <v>1478</v>
      </c>
      <c r="K14">
        <v>32108</v>
      </c>
      <c r="L14" s="1">
        <v>12564</v>
      </c>
      <c r="M14" s="1" t="s">
        <v>3165</v>
      </c>
      <c r="N14" t="s">
        <v>1479</v>
      </c>
      <c r="O14" t="s">
        <v>3149</v>
      </c>
    </row>
    <row r="15" spans="1:15" x14ac:dyDescent="0.3">
      <c r="A15" t="s">
        <v>1651</v>
      </c>
      <c r="B15">
        <v>8</v>
      </c>
      <c r="C15" s="1">
        <v>45269</v>
      </c>
      <c r="D15" t="s">
        <v>1652</v>
      </c>
      <c r="E15" t="s">
        <v>1653</v>
      </c>
      <c r="F15" t="s">
        <v>15</v>
      </c>
      <c r="G15" t="s">
        <v>369</v>
      </c>
      <c r="H15">
        <v>238</v>
      </c>
      <c r="I15">
        <v>1939</v>
      </c>
      <c r="J15" t="s">
        <v>1654</v>
      </c>
      <c r="K15">
        <v>329784</v>
      </c>
      <c r="L15" s="1">
        <v>14594</v>
      </c>
      <c r="M15" s="1" t="s">
        <v>3165</v>
      </c>
      <c r="N15" t="s">
        <v>1655</v>
      </c>
      <c r="O15" t="s">
        <v>3149</v>
      </c>
    </row>
    <row r="16" spans="1:15" x14ac:dyDescent="0.3">
      <c r="A16" t="s">
        <v>1673</v>
      </c>
      <c r="B16">
        <v>8</v>
      </c>
      <c r="C16" s="1">
        <v>44911</v>
      </c>
      <c r="D16" t="s">
        <v>1674</v>
      </c>
      <c r="E16" t="s">
        <v>1675</v>
      </c>
      <c r="F16" t="s">
        <v>15</v>
      </c>
      <c r="G16" t="s">
        <v>927</v>
      </c>
      <c r="H16">
        <v>125</v>
      </c>
      <c r="I16">
        <v>1940</v>
      </c>
      <c r="J16" t="s">
        <v>1133</v>
      </c>
      <c r="K16">
        <v>234434</v>
      </c>
      <c r="L16" s="1">
        <v>14899</v>
      </c>
      <c r="M16" s="1" t="s">
        <v>3165</v>
      </c>
      <c r="N16" t="s">
        <v>1676</v>
      </c>
      <c r="O16" t="s">
        <v>3149</v>
      </c>
    </row>
    <row r="17" spans="1:15" x14ac:dyDescent="0.3">
      <c r="A17" t="s">
        <v>1680</v>
      </c>
      <c r="B17">
        <v>6</v>
      </c>
      <c r="C17" s="1">
        <v>45123</v>
      </c>
      <c r="D17" t="s">
        <v>1681</v>
      </c>
      <c r="E17" t="s">
        <v>1682</v>
      </c>
      <c r="F17" t="s">
        <v>15</v>
      </c>
      <c r="G17" t="s">
        <v>143</v>
      </c>
      <c r="H17">
        <v>112</v>
      </c>
      <c r="I17">
        <v>1940</v>
      </c>
      <c r="J17" t="s">
        <v>225</v>
      </c>
      <c r="K17">
        <v>72906</v>
      </c>
      <c r="L17" s="1">
        <v>14950</v>
      </c>
      <c r="M17" s="1" t="s">
        <v>3165</v>
      </c>
      <c r="N17" t="s">
        <v>1683</v>
      </c>
      <c r="O17" t="s">
        <v>3149</v>
      </c>
    </row>
    <row r="18" spans="1:15" x14ac:dyDescent="0.3">
      <c r="A18" t="s">
        <v>1715</v>
      </c>
      <c r="B18">
        <v>7</v>
      </c>
      <c r="C18" s="1">
        <v>44835</v>
      </c>
      <c r="D18" t="s">
        <v>1716</v>
      </c>
      <c r="E18" t="s">
        <v>1717</v>
      </c>
      <c r="F18" t="s">
        <v>15</v>
      </c>
      <c r="G18" t="s">
        <v>23</v>
      </c>
      <c r="H18">
        <v>102</v>
      </c>
      <c r="I18">
        <v>1942</v>
      </c>
      <c r="J18" t="s">
        <v>1654</v>
      </c>
      <c r="K18">
        <v>598002</v>
      </c>
      <c r="L18" s="1">
        <v>15671</v>
      </c>
      <c r="M18" s="1" t="s">
        <v>3165</v>
      </c>
      <c r="N18" t="s">
        <v>1718</v>
      </c>
      <c r="O18" t="s">
        <v>3149</v>
      </c>
    </row>
    <row r="19" spans="1:15" x14ac:dyDescent="0.3">
      <c r="A19" t="s">
        <v>1758</v>
      </c>
      <c r="B19">
        <v>7</v>
      </c>
      <c r="C19" s="1">
        <v>44455</v>
      </c>
      <c r="D19" t="s">
        <v>1759</v>
      </c>
      <c r="E19" t="s">
        <v>1760</v>
      </c>
      <c r="F19" t="s">
        <v>47</v>
      </c>
      <c r="G19" t="s">
        <v>61</v>
      </c>
      <c r="H19">
        <v>14</v>
      </c>
      <c r="I19">
        <v>1943</v>
      </c>
      <c r="J19" t="s">
        <v>1761</v>
      </c>
      <c r="K19">
        <v>14883</v>
      </c>
      <c r="L19" s="1">
        <v>16071</v>
      </c>
      <c r="M19" s="1" t="s">
        <v>3165</v>
      </c>
      <c r="N19" t="s">
        <v>3208</v>
      </c>
      <c r="O19" t="s">
        <v>3175</v>
      </c>
    </row>
    <row r="20" spans="1:15" x14ac:dyDescent="0.3">
      <c r="A20" t="s">
        <v>1828</v>
      </c>
      <c r="B20">
        <v>8</v>
      </c>
      <c r="C20" s="1">
        <v>43826</v>
      </c>
      <c r="D20" t="s">
        <v>1829</v>
      </c>
      <c r="E20" t="s">
        <v>1830</v>
      </c>
      <c r="F20" t="s">
        <v>15</v>
      </c>
      <c r="G20" t="s">
        <v>122</v>
      </c>
      <c r="H20">
        <v>130</v>
      </c>
      <c r="I20">
        <v>1946</v>
      </c>
      <c r="J20" t="s">
        <v>1831</v>
      </c>
      <c r="K20">
        <v>491225</v>
      </c>
      <c r="L20" s="1">
        <v>17156</v>
      </c>
      <c r="M20" s="1" t="s">
        <v>3165</v>
      </c>
      <c r="N20" t="s">
        <v>1832</v>
      </c>
      <c r="O20" t="s">
        <v>3149</v>
      </c>
    </row>
    <row r="21" spans="1:15" x14ac:dyDescent="0.3">
      <c r="A21" t="s">
        <v>1852</v>
      </c>
      <c r="B21">
        <v>7</v>
      </c>
      <c r="C21" s="1">
        <v>43829</v>
      </c>
      <c r="D21" t="s">
        <v>1853</v>
      </c>
      <c r="E21" t="s">
        <v>1854</v>
      </c>
      <c r="F21" t="s">
        <v>15</v>
      </c>
      <c r="G21" t="s">
        <v>143</v>
      </c>
      <c r="H21">
        <v>96</v>
      </c>
      <c r="I21">
        <v>1947</v>
      </c>
      <c r="J21" t="s">
        <v>1855</v>
      </c>
      <c r="K21">
        <v>54267</v>
      </c>
      <c r="L21" s="1">
        <v>17322</v>
      </c>
      <c r="M21" s="1" t="s">
        <v>3165</v>
      </c>
      <c r="N21" t="s">
        <v>1856</v>
      </c>
      <c r="O21" t="s">
        <v>3149</v>
      </c>
    </row>
    <row r="22" spans="1:15" x14ac:dyDescent="0.3">
      <c r="A22" t="s">
        <v>1873</v>
      </c>
      <c r="B22">
        <v>6</v>
      </c>
      <c r="C22" s="1">
        <v>45163</v>
      </c>
      <c r="D22" t="s">
        <v>1874</v>
      </c>
      <c r="E22" t="s">
        <v>1875</v>
      </c>
      <c r="F22" t="s">
        <v>15</v>
      </c>
      <c r="G22" t="s">
        <v>334</v>
      </c>
      <c r="H22">
        <v>135</v>
      </c>
      <c r="I22">
        <v>1948</v>
      </c>
      <c r="J22" t="s">
        <v>1876</v>
      </c>
      <c r="K22">
        <v>38341</v>
      </c>
      <c r="L22" s="1">
        <v>17736</v>
      </c>
      <c r="M22" s="1" t="s">
        <v>3165</v>
      </c>
      <c r="N22" t="s">
        <v>1877</v>
      </c>
      <c r="O22" t="s">
        <v>3149</v>
      </c>
    </row>
    <row r="23" spans="1:15" x14ac:dyDescent="0.3">
      <c r="A23" t="s">
        <v>1944</v>
      </c>
      <c r="B23">
        <v>6</v>
      </c>
      <c r="C23" s="1">
        <v>45243</v>
      </c>
      <c r="D23" t="s">
        <v>1945</v>
      </c>
      <c r="E23" t="s">
        <v>1946</v>
      </c>
      <c r="F23" t="s">
        <v>15</v>
      </c>
      <c r="G23" t="s">
        <v>927</v>
      </c>
      <c r="H23">
        <v>110</v>
      </c>
      <c r="I23">
        <v>1950</v>
      </c>
      <c r="J23" t="s">
        <v>1947</v>
      </c>
      <c r="K23">
        <v>233080</v>
      </c>
      <c r="L23" s="1">
        <v>18479</v>
      </c>
      <c r="M23" s="1" t="s">
        <v>3165</v>
      </c>
      <c r="N23" t="s">
        <v>1948</v>
      </c>
      <c r="O23" t="s">
        <v>3149</v>
      </c>
    </row>
    <row r="24" spans="1:15" x14ac:dyDescent="0.3">
      <c r="A24" t="s">
        <v>2012</v>
      </c>
      <c r="B24">
        <v>5</v>
      </c>
      <c r="C24" s="1">
        <v>43920</v>
      </c>
      <c r="D24" t="s">
        <v>2013</v>
      </c>
      <c r="E24" t="s">
        <v>2014</v>
      </c>
      <c r="F24" t="s">
        <v>15</v>
      </c>
      <c r="G24" t="s">
        <v>198</v>
      </c>
      <c r="H24">
        <v>91</v>
      </c>
      <c r="I24">
        <v>1953</v>
      </c>
      <c r="J24" t="s">
        <v>2015</v>
      </c>
      <c r="K24">
        <v>41972</v>
      </c>
      <c r="L24" s="1">
        <v>19541</v>
      </c>
      <c r="M24" s="1" t="s">
        <v>3165</v>
      </c>
      <c r="N24" t="s">
        <v>2016</v>
      </c>
      <c r="O24" t="s">
        <v>3149</v>
      </c>
    </row>
    <row r="25" spans="1:15" x14ac:dyDescent="0.3">
      <c r="A25" t="s">
        <v>2017</v>
      </c>
      <c r="B25">
        <v>6</v>
      </c>
      <c r="C25" s="1">
        <v>44917</v>
      </c>
      <c r="D25" t="s">
        <v>2018</v>
      </c>
      <c r="E25" t="s">
        <v>2019</v>
      </c>
      <c r="F25" t="s">
        <v>15</v>
      </c>
      <c r="G25" t="s">
        <v>29</v>
      </c>
      <c r="H25">
        <v>118</v>
      </c>
      <c r="I25">
        <v>1953</v>
      </c>
      <c r="J25" t="s">
        <v>225</v>
      </c>
      <c r="K25">
        <v>145695</v>
      </c>
      <c r="L25" s="1">
        <v>19591</v>
      </c>
      <c r="M25" s="1" t="s">
        <v>3165</v>
      </c>
      <c r="N25" t="s">
        <v>2020</v>
      </c>
      <c r="O25" t="s">
        <v>3149</v>
      </c>
    </row>
    <row r="26" spans="1:15" x14ac:dyDescent="0.3">
      <c r="A26" t="s">
        <v>2021</v>
      </c>
      <c r="B26">
        <v>6</v>
      </c>
      <c r="C26" s="1">
        <v>43829</v>
      </c>
      <c r="D26" t="s">
        <v>2022</v>
      </c>
      <c r="E26" t="s">
        <v>2023</v>
      </c>
      <c r="F26" t="s">
        <v>15</v>
      </c>
      <c r="G26" t="s">
        <v>41</v>
      </c>
      <c r="H26">
        <v>118</v>
      </c>
      <c r="I26">
        <v>1953</v>
      </c>
      <c r="J26" t="s">
        <v>128</v>
      </c>
      <c r="K26">
        <v>43503</v>
      </c>
      <c r="L26" s="1">
        <v>19472</v>
      </c>
      <c r="M26" s="1" t="s">
        <v>3165</v>
      </c>
      <c r="N26" t="s">
        <v>2024</v>
      </c>
      <c r="O26" t="s">
        <v>3149</v>
      </c>
    </row>
    <row r="27" spans="1:15" x14ac:dyDescent="0.3">
      <c r="A27" t="s">
        <v>2055</v>
      </c>
      <c r="B27">
        <v>8</v>
      </c>
      <c r="C27" s="1">
        <v>44561</v>
      </c>
      <c r="D27" t="s">
        <v>2056</v>
      </c>
      <c r="E27" t="s">
        <v>2057</v>
      </c>
      <c r="F27" t="s">
        <v>15</v>
      </c>
      <c r="G27" t="s">
        <v>23</v>
      </c>
      <c r="H27">
        <v>112</v>
      </c>
      <c r="I27">
        <v>1954</v>
      </c>
      <c r="J27" t="s">
        <v>370</v>
      </c>
      <c r="K27">
        <v>514667</v>
      </c>
      <c r="L27" s="1">
        <v>19937</v>
      </c>
      <c r="M27" s="1" t="s">
        <v>3165</v>
      </c>
      <c r="N27" t="s">
        <v>2058</v>
      </c>
      <c r="O27" t="s">
        <v>3149</v>
      </c>
    </row>
    <row r="28" spans="1:15" x14ac:dyDescent="0.3">
      <c r="A28" t="s">
        <v>2070</v>
      </c>
      <c r="B28">
        <v>4</v>
      </c>
      <c r="C28" s="1">
        <v>44121</v>
      </c>
      <c r="D28" t="s">
        <v>2071</v>
      </c>
      <c r="E28" t="s">
        <v>2072</v>
      </c>
      <c r="F28" t="s">
        <v>15</v>
      </c>
      <c r="G28" t="s">
        <v>198</v>
      </c>
      <c r="H28">
        <v>105</v>
      </c>
      <c r="I28">
        <v>1955</v>
      </c>
      <c r="J28" t="s">
        <v>225</v>
      </c>
      <c r="K28">
        <v>41821</v>
      </c>
      <c r="L28" s="1">
        <v>20241</v>
      </c>
      <c r="M28" s="1" t="s">
        <v>3165</v>
      </c>
      <c r="N28" t="s">
        <v>1948</v>
      </c>
      <c r="O28" t="s">
        <v>3149</v>
      </c>
    </row>
    <row r="29" spans="1:15" x14ac:dyDescent="0.3">
      <c r="A29" t="s">
        <v>2083</v>
      </c>
      <c r="B29">
        <v>6</v>
      </c>
      <c r="C29" s="1">
        <v>44612</v>
      </c>
      <c r="D29" t="s">
        <v>2084</v>
      </c>
      <c r="E29" t="s">
        <v>2085</v>
      </c>
      <c r="F29" t="s">
        <v>15</v>
      </c>
      <c r="G29" t="s">
        <v>35</v>
      </c>
      <c r="H29">
        <v>111</v>
      </c>
      <c r="I29">
        <v>1956</v>
      </c>
      <c r="J29" t="s">
        <v>2015</v>
      </c>
      <c r="K29">
        <v>17252</v>
      </c>
      <c r="L29" s="1">
        <v>20653</v>
      </c>
      <c r="M29" s="1" t="s">
        <v>3165</v>
      </c>
      <c r="N29" t="s">
        <v>2086</v>
      </c>
      <c r="O29" t="s">
        <v>3149</v>
      </c>
    </row>
    <row r="30" spans="1:15" x14ac:dyDescent="0.3">
      <c r="A30" t="s">
        <v>2087</v>
      </c>
      <c r="B30">
        <v>6</v>
      </c>
      <c r="C30" s="1">
        <v>43833</v>
      </c>
      <c r="D30" t="s">
        <v>2088</v>
      </c>
      <c r="E30" t="s">
        <v>2089</v>
      </c>
      <c r="F30" t="s">
        <v>15</v>
      </c>
      <c r="G30" t="s">
        <v>61</v>
      </c>
      <c r="H30">
        <v>119</v>
      </c>
      <c r="I30">
        <v>1956</v>
      </c>
      <c r="J30" t="s">
        <v>2090</v>
      </c>
      <c r="K30">
        <v>94963</v>
      </c>
      <c r="L30" s="1">
        <v>20591</v>
      </c>
      <c r="M30" s="1" t="s">
        <v>3165</v>
      </c>
      <c r="N30" t="s">
        <v>2091</v>
      </c>
      <c r="O30" t="s">
        <v>3149</v>
      </c>
    </row>
    <row r="31" spans="1:15" x14ac:dyDescent="0.3">
      <c r="A31" t="s">
        <v>2100</v>
      </c>
      <c r="B31">
        <v>7</v>
      </c>
      <c r="C31" s="1">
        <v>44325</v>
      </c>
      <c r="D31" t="s">
        <v>2101</v>
      </c>
      <c r="E31" t="s">
        <v>2102</v>
      </c>
      <c r="F31" t="s">
        <v>15</v>
      </c>
      <c r="G31" t="s">
        <v>271</v>
      </c>
      <c r="H31">
        <v>96</v>
      </c>
      <c r="I31">
        <v>1957</v>
      </c>
      <c r="J31" t="s">
        <v>325</v>
      </c>
      <c r="K31">
        <v>846811</v>
      </c>
      <c r="L31" s="1">
        <v>20920</v>
      </c>
      <c r="M31" s="1" t="s">
        <v>3165</v>
      </c>
      <c r="N31" t="s">
        <v>2103</v>
      </c>
      <c r="O31" t="s">
        <v>3149</v>
      </c>
    </row>
    <row r="32" spans="1:15" x14ac:dyDescent="0.3">
      <c r="A32" t="s">
        <v>2115</v>
      </c>
      <c r="B32">
        <v>7</v>
      </c>
      <c r="C32" s="1">
        <v>44381</v>
      </c>
      <c r="D32" t="s">
        <v>2116</v>
      </c>
      <c r="E32" t="s">
        <v>2117</v>
      </c>
      <c r="F32" t="s">
        <v>15</v>
      </c>
      <c r="G32" t="s">
        <v>334</v>
      </c>
      <c r="H32">
        <v>110</v>
      </c>
      <c r="I32">
        <v>1957</v>
      </c>
      <c r="J32" t="s">
        <v>24</v>
      </c>
      <c r="K32">
        <v>51418</v>
      </c>
      <c r="L32" s="1">
        <v>20951</v>
      </c>
      <c r="M32" s="1" t="s">
        <v>3155</v>
      </c>
      <c r="N32" t="s">
        <v>2118</v>
      </c>
      <c r="O32" t="s">
        <v>3149</v>
      </c>
    </row>
    <row r="33" spans="1:15" x14ac:dyDescent="0.3">
      <c r="A33" t="s">
        <v>2141</v>
      </c>
      <c r="B33">
        <v>6</v>
      </c>
      <c r="C33" s="1">
        <v>44884</v>
      </c>
      <c r="D33" t="s">
        <v>2142</v>
      </c>
      <c r="E33" t="s">
        <v>2143</v>
      </c>
      <c r="F33" t="s">
        <v>15</v>
      </c>
      <c r="G33" t="s">
        <v>84</v>
      </c>
      <c r="H33">
        <v>103</v>
      </c>
      <c r="I33">
        <v>1958</v>
      </c>
      <c r="J33" t="s">
        <v>1654</v>
      </c>
      <c r="K33">
        <v>13145</v>
      </c>
      <c r="L33" s="1">
        <v>21461</v>
      </c>
      <c r="M33" s="1" t="s">
        <v>3166</v>
      </c>
      <c r="N33" t="s">
        <v>2137</v>
      </c>
      <c r="O33" t="s">
        <v>3149</v>
      </c>
    </row>
    <row r="34" spans="1:15" x14ac:dyDescent="0.3">
      <c r="A34" t="s">
        <v>2156</v>
      </c>
      <c r="B34">
        <v>8</v>
      </c>
      <c r="C34" s="1">
        <v>44793</v>
      </c>
      <c r="D34" t="s">
        <v>2157</v>
      </c>
      <c r="E34" t="s">
        <v>2158</v>
      </c>
      <c r="F34" t="s">
        <v>15</v>
      </c>
      <c r="G34" t="s">
        <v>61</v>
      </c>
      <c r="H34">
        <v>90</v>
      </c>
      <c r="I34">
        <v>1959</v>
      </c>
      <c r="J34" t="s">
        <v>42</v>
      </c>
      <c r="K34">
        <v>35228</v>
      </c>
      <c r="L34" s="1">
        <v>21678</v>
      </c>
      <c r="M34" s="1" t="s">
        <v>3155</v>
      </c>
      <c r="N34" t="s">
        <v>2159</v>
      </c>
      <c r="O34" t="s">
        <v>3149</v>
      </c>
    </row>
    <row r="35" spans="1:15" x14ac:dyDescent="0.3">
      <c r="A35" t="s">
        <v>2160</v>
      </c>
      <c r="B35">
        <v>5</v>
      </c>
      <c r="C35" s="1">
        <v>45084</v>
      </c>
      <c r="D35" t="s">
        <v>2161</v>
      </c>
      <c r="E35" t="s">
        <v>2162</v>
      </c>
      <c r="F35" t="s">
        <v>15</v>
      </c>
      <c r="G35" t="s">
        <v>73</v>
      </c>
      <c r="H35">
        <v>95</v>
      </c>
      <c r="I35">
        <v>1958</v>
      </c>
      <c r="J35" t="s">
        <v>24</v>
      </c>
      <c r="K35">
        <v>194</v>
      </c>
      <c r="L35" s="1">
        <v>21475</v>
      </c>
      <c r="M35" s="1" t="s">
        <v>3179</v>
      </c>
      <c r="N35" t="s">
        <v>2163</v>
      </c>
      <c r="O35" t="s">
        <v>3175</v>
      </c>
    </row>
    <row r="36" spans="1:15" x14ac:dyDescent="0.3">
      <c r="A36" t="s">
        <v>2164</v>
      </c>
      <c r="B36">
        <v>8</v>
      </c>
      <c r="C36" s="1">
        <v>43897</v>
      </c>
      <c r="D36" t="s">
        <v>2165</v>
      </c>
      <c r="E36" t="s">
        <v>2166</v>
      </c>
      <c r="F36" t="s">
        <v>15</v>
      </c>
      <c r="G36" t="s">
        <v>369</v>
      </c>
      <c r="H36">
        <v>121</v>
      </c>
      <c r="I36">
        <v>1959</v>
      </c>
      <c r="J36" t="s">
        <v>2167</v>
      </c>
      <c r="K36">
        <v>279970</v>
      </c>
      <c r="L36" s="1">
        <v>21628</v>
      </c>
      <c r="M36" s="1" t="s">
        <v>3165</v>
      </c>
      <c r="N36" t="s">
        <v>1948</v>
      </c>
      <c r="O36" t="s">
        <v>3149</v>
      </c>
    </row>
    <row r="37" spans="1:15" x14ac:dyDescent="0.3">
      <c r="A37" t="s">
        <v>2168</v>
      </c>
      <c r="B37">
        <v>4</v>
      </c>
      <c r="C37" s="1">
        <v>44882</v>
      </c>
      <c r="D37" t="s">
        <v>2169</v>
      </c>
      <c r="E37" t="s">
        <v>2170</v>
      </c>
      <c r="F37" t="s">
        <v>15</v>
      </c>
      <c r="G37" t="s">
        <v>84</v>
      </c>
      <c r="H37">
        <v>90</v>
      </c>
      <c r="I37">
        <v>1960</v>
      </c>
      <c r="J37" t="s">
        <v>325</v>
      </c>
      <c r="K37">
        <v>86771</v>
      </c>
      <c r="L37" s="1">
        <v>21991</v>
      </c>
      <c r="M37" s="1" t="s">
        <v>3155</v>
      </c>
      <c r="N37" t="s">
        <v>2171</v>
      </c>
      <c r="O37" t="s">
        <v>3149</v>
      </c>
    </row>
    <row r="38" spans="1:15" x14ac:dyDescent="0.3">
      <c r="A38" t="s">
        <v>2176</v>
      </c>
      <c r="B38">
        <v>6</v>
      </c>
      <c r="C38" s="1">
        <v>44381</v>
      </c>
      <c r="D38" t="s">
        <v>2177</v>
      </c>
      <c r="E38" t="s">
        <v>2178</v>
      </c>
      <c r="F38" t="s">
        <v>15</v>
      </c>
      <c r="G38" t="s">
        <v>29</v>
      </c>
      <c r="H38">
        <v>174</v>
      </c>
      <c r="I38">
        <v>1960</v>
      </c>
      <c r="J38" t="s">
        <v>261</v>
      </c>
      <c r="K38">
        <v>77202</v>
      </c>
      <c r="L38" s="1">
        <v>21949</v>
      </c>
      <c r="M38" s="1" t="s">
        <v>3194</v>
      </c>
      <c r="N38" t="s">
        <v>2118</v>
      </c>
      <c r="O38" t="s">
        <v>3149</v>
      </c>
    </row>
    <row r="39" spans="1:15" x14ac:dyDescent="0.3">
      <c r="A39" t="s">
        <v>2179</v>
      </c>
      <c r="B39">
        <v>5</v>
      </c>
      <c r="C39" s="1">
        <v>44482</v>
      </c>
      <c r="D39" t="s">
        <v>2180</v>
      </c>
      <c r="E39" t="s">
        <v>2181</v>
      </c>
      <c r="F39" t="s">
        <v>15</v>
      </c>
      <c r="G39" t="s">
        <v>1170</v>
      </c>
      <c r="H39">
        <v>81</v>
      </c>
      <c r="I39">
        <v>1959</v>
      </c>
      <c r="J39" t="s">
        <v>2182</v>
      </c>
      <c r="K39">
        <v>27</v>
      </c>
      <c r="L39" s="1">
        <v>21618</v>
      </c>
      <c r="M39" s="1" t="s">
        <v>3179</v>
      </c>
      <c r="N39" t="s">
        <v>2183</v>
      </c>
      <c r="O39" t="s">
        <v>3149</v>
      </c>
    </row>
    <row r="40" spans="1:15" x14ac:dyDescent="0.3">
      <c r="A40" t="s">
        <v>2184</v>
      </c>
      <c r="B40">
        <v>8</v>
      </c>
      <c r="C40" s="1">
        <v>44200</v>
      </c>
      <c r="D40" t="s">
        <v>2185</v>
      </c>
      <c r="E40" t="s">
        <v>2186</v>
      </c>
      <c r="F40" t="s">
        <v>15</v>
      </c>
      <c r="G40" t="s">
        <v>23</v>
      </c>
      <c r="H40">
        <v>109</v>
      </c>
      <c r="I40">
        <v>1960</v>
      </c>
      <c r="J40" t="s">
        <v>738</v>
      </c>
      <c r="K40">
        <v>707980</v>
      </c>
      <c r="L40" s="1">
        <v>22083</v>
      </c>
      <c r="M40" s="1" t="s">
        <v>3165</v>
      </c>
      <c r="N40" t="s">
        <v>2058</v>
      </c>
      <c r="O40" t="s">
        <v>3149</v>
      </c>
    </row>
    <row r="41" spans="1:15" x14ac:dyDescent="0.3">
      <c r="A41" t="s">
        <v>2195</v>
      </c>
      <c r="B41">
        <v>7</v>
      </c>
      <c r="C41" s="1">
        <v>44985</v>
      </c>
      <c r="D41" t="s">
        <v>2196</v>
      </c>
      <c r="E41" t="s">
        <v>2197</v>
      </c>
      <c r="F41" t="s">
        <v>15</v>
      </c>
      <c r="G41" t="s">
        <v>187</v>
      </c>
      <c r="H41">
        <v>179</v>
      </c>
      <c r="I41">
        <v>1961</v>
      </c>
      <c r="J41" t="s">
        <v>193</v>
      </c>
      <c r="K41">
        <v>83240</v>
      </c>
      <c r="L41" s="1">
        <v>22629</v>
      </c>
      <c r="M41" s="1" t="s">
        <v>3165</v>
      </c>
      <c r="N41" t="s">
        <v>2198</v>
      </c>
      <c r="O41" t="s">
        <v>3149</v>
      </c>
    </row>
    <row r="42" spans="1:15" x14ac:dyDescent="0.3">
      <c r="A42" t="s">
        <v>2211</v>
      </c>
      <c r="B42">
        <v>6</v>
      </c>
      <c r="C42" s="1">
        <v>44623</v>
      </c>
      <c r="D42" t="s">
        <v>2212</v>
      </c>
      <c r="E42" t="s">
        <v>2213</v>
      </c>
      <c r="F42" t="s">
        <v>15</v>
      </c>
      <c r="G42" t="s">
        <v>16</v>
      </c>
      <c r="H42">
        <v>85</v>
      </c>
      <c r="I42">
        <v>1961</v>
      </c>
      <c r="J42" t="s">
        <v>17</v>
      </c>
      <c r="K42">
        <v>18972</v>
      </c>
      <c r="L42" s="1">
        <v>22463</v>
      </c>
      <c r="M42" s="1" t="s">
        <v>3155</v>
      </c>
      <c r="N42" t="s">
        <v>2171</v>
      </c>
      <c r="O42" t="s">
        <v>3149</v>
      </c>
    </row>
    <row r="43" spans="1:15" x14ac:dyDescent="0.3">
      <c r="A43" t="s">
        <v>2224</v>
      </c>
      <c r="B43">
        <v>6</v>
      </c>
      <c r="C43" s="1">
        <v>45117</v>
      </c>
      <c r="D43" t="s">
        <v>2225</v>
      </c>
      <c r="E43" t="s">
        <v>2226</v>
      </c>
      <c r="F43" t="s">
        <v>15</v>
      </c>
      <c r="G43" t="s">
        <v>61</v>
      </c>
      <c r="H43">
        <v>90</v>
      </c>
      <c r="I43">
        <v>1962</v>
      </c>
      <c r="J43" t="s">
        <v>169</v>
      </c>
      <c r="K43">
        <v>26272</v>
      </c>
      <c r="L43" s="1">
        <v>22747</v>
      </c>
      <c r="M43" s="1" t="s">
        <v>3155</v>
      </c>
      <c r="N43" t="s">
        <v>2227</v>
      </c>
      <c r="O43" t="s">
        <v>3175</v>
      </c>
    </row>
    <row r="44" spans="1:15" x14ac:dyDescent="0.3">
      <c r="A44" t="s">
        <v>2244</v>
      </c>
      <c r="B44">
        <v>6</v>
      </c>
      <c r="C44" s="1">
        <v>44373</v>
      </c>
      <c r="D44" t="s">
        <v>2245</v>
      </c>
      <c r="E44" t="s">
        <v>2246</v>
      </c>
      <c r="F44" t="s">
        <v>15</v>
      </c>
      <c r="G44" t="s">
        <v>56</v>
      </c>
      <c r="H44">
        <v>153</v>
      </c>
      <c r="I44">
        <v>1962</v>
      </c>
      <c r="J44" t="s">
        <v>30</v>
      </c>
      <c r="K44">
        <v>107372</v>
      </c>
      <c r="L44" s="1">
        <v>22810</v>
      </c>
      <c r="M44" s="1" t="s">
        <v>3165</v>
      </c>
      <c r="N44" t="s">
        <v>537</v>
      </c>
      <c r="O44" t="s">
        <v>3149</v>
      </c>
    </row>
    <row r="45" spans="1:15" x14ac:dyDescent="0.3">
      <c r="A45" t="s">
        <v>2247</v>
      </c>
      <c r="B45">
        <v>6</v>
      </c>
      <c r="C45" s="1">
        <v>44969</v>
      </c>
      <c r="D45" t="s">
        <v>2248</v>
      </c>
      <c r="E45" t="s">
        <v>2249</v>
      </c>
      <c r="F45" t="s">
        <v>15</v>
      </c>
      <c r="G45" t="s">
        <v>148</v>
      </c>
      <c r="H45">
        <v>94</v>
      </c>
      <c r="I45">
        <v>1962</v>
      </c>
      <c r="J45" t="s">
        <v>117</v>
      </c>
      <c r="K45">
        <v>23274</v>
      </c>
      <c r="L45" s="1">
        <v>22714</v>
      </c>
      <c r="M45" s="1" t="s">
        <v>3166</v>
      </c>
      <c r="N45" t="s">
        <v>1393</v>
      </c>
      <c r="O45" t="s">
        <v>3149</v>
      </c>
    </row>
    <row r="46" spans="1:15" x14ac:dyDescent="0.3">
      <c r="A46" t="s">
        <v>2257</v>
      </c>
      <c r="B46">
        <v>4</v>
      </c>
      <c r="C46" s="1">
        <v>44380</v>
      </c>
      <c r="D46" t="s">
        <v>2258</v>
      </c>
      <c r="E46" t="s">
        <v>2259</v>
      </c>
      <c r="F46" t="s">
        <v>15</v>
      </c>
      <c r="G46" t="s">
        <v>29</v>
      </c>
      <c r="H46">
        <v>138</v>
      </c>
      <c r="I46">
        <v>1963</v>
      </c>
      <c r="J46" t="s">
        <v>24</v>
      </c>
      <c r="K46">
        <v>123724</v>
      </c>
      <c r="L46" s="1">
        <v>23013</v>
      </c>
      <c r="M46" s="1" t="s">
        <v>3194</v>
      </c>
      <c r="N46" t="s">
        <v>2118</v>
      </c>
      <c r="O46" t="s">
        <v>3149</v>
      </c>
    </row>
    <row r="47" spans="1:15" x14ac:dyDescent="0.3">
      <c r="A47" t="s">
        <v>2270</v>
      </c>
      <c r="B47">
        <v>8</v>
      </c>
      <c r="C47" s="1">
        <v>44204</v>
      </c>
      <c r="D47" t="s">
        <v>2271</v>
      </c>
      <c r="E47" t="s">
        <v>2272</v>
      </c>
      <c r="F47" t="s">
        <v>15</v>
      </c>
      <c r="G47" t="s">
        <v>927</v>
      </c>
      <c r="H47">
        <v>95</v>
      </c>
      <c r="I47">
        <v>1964</v>
      </c>
      <c r="J47" t="s">
        <v>2273</v>
      </c>
      <c r="K47">
        <v>511396</v>
      </c>
      <c r="L47" s="1">
        <v>23405</v>
      </c>
      <c r="M47" s="1" t="s">
        <v>3165</v>
      </c>
      <c r="N47" t="s">
        <v>537</v>
      </c>
      <c r="O47" t="s">
        <v>3149</v>
      </c>
    </row>
    <row r="48" spans="1:15" x14ac:dyDescent="0.3">
      <c r="A48" t="s">
        <v>2278</v>
      </c>
      <c r="B48">
        <v>6</v>
      </c>
      <c r="C48" s="1">
        <v>44989</v>
      </c>
      <c r="D48" t="s">
        <v>2279</v>
      </c>
      <c r="E48" t="s">
        <v>2280</v>
      </c>
      <c r="F48" t="s">
        <v>15</v>
      </c>
      <c r="G48" t="s">
        <v>35</v>
      </c>
      <c r="H48">
        <v>92</v>
      </c>
      <c r="I48">
        <v>1963</v>
      </c>
      <c r="J48" t="s">
        <v>2281</v>
      </c>
      <c r="K48">
        <v>20178</v>
      </c>
      <c r="L48" s="1">
        <v>23143</v>
      </c>
      <c r="M48" s="1" t="s">
        <v>3171</v>
      </c>
      <c r="N48" t="s">
        <v>2282</v>
      </c>
      <c r="O48" t="s">
        <v>3149</v>
      </c>
    </row>
    <row r="49" spans="1:15" x14ac:dyDescent="0.3">
      <c r="A49" t="s">
        <v>2309</v>
      </c>
      <c r="B49">
        <v>7</v>
      </c>
      <c r="C49" s="1">
        <v>43572</v>
      </c>
      <c r="D49" t="s">
        <v>2310</v>
      </c>
      <c r="E49" t="s">
        <v>2311</v>
      </c>
      <c r="F49" t="s">
        <v>15</v>
      </c>
      <c r="G49" t="s">
        <v>56</v>
      </c>
      <c r="H49">
        <v>87</v>
      </c>
      <c r="I49">
        <v>1964</v>
      </c>
      <c r="J49" t="s">
        <v>2312</v>
      </c>
      <c r="K49">
        <v>47525</v>
      </c>
      <c r="L49" s="1">
        <v>23564</v>
      </c>
      <c r="M49" s="1" t="s">
        <v>3171</v>
      </c>
      <c r="N49" t="s">
        <v>2313</v>
      </c>
      <c r="O49" t="s">
        <v>3149</v>
      </c>
    </row>
    <row r="50" spans="1:15" x14ac:dyDescent="0.3">
      <c r="A50" t="s">
        <v>2314</v>
      </c>
      <c r="B50">
        <v>7</v>
      </c>
      <c r="C50" s="1">
        <v>44554</v>
      </c>
      <c r="D50" t="s">
        <v>2315</v>
      </c>
      <c r="E50" t="s">
        <v>2316</v>
      </c>
      <c r="F50" t="s">
        <v>15</v>
      </c>
      <c r="G50" t="s">
        <v>61</v>
      </c>
      <c r="H50">
        <v>91</v>
      </c>
      <c r="I50">
        <v>1964</v>
      </c>
      <c r="J50" t="s">
        <v>1228</v>
      </c>
      <c r="K50">
        <v>30575</v>
      </c>
      <c r="L50" s="1">
        <v>23410</v>
      </c>
      <c r="M50" s="1" t="s">
        <v>3155</v>
      </c>
      <c r="N50" t="s">
        <v>2317</v>
      </c>
      <c r="O50" t="s">
        <v>3149</v>
      </c>
    </row>
    <row r="51" spans="1:15" x14ac:dyDescent="0.3">
      <c r="A51" t="s">
        <v>2318</v>
      </c>
      <c r="B51">
        <v>7</v>
      </c>
      <c r="C51" s="1">
        <v>44805</v>
      </c>
      <c r="D51" t="s">
        <v>2319</v>
      </c>
      <c r="E51" t="s">
        <v>2320</v>
      </c>
      <c r="F51" t="s">
        <v>15</v>
      </c>
      <c r="G51" t="s">
        <v>61</v>
      </c>
      <c r="H51">
        <v>97</v>
      </c>
      <c r="I51">
        <v>1965</v>
      </c>
      <c r="J51" t="s">
        <v>42</v>
      </c>
      <c r="K51">
        <v>8205</v>
      </c>
      <c r="L51" s="1">
        <v>23823</v>
      </c>
      <c r="M51" s="1" t="s">
        <v>3179</v>
      </c>
      <c r="N51" t="s">
        <v>1279</v>
      </c>
      <c r="O51" t="s">
        <v>3149</v>
      </c>
    </row>
    <row r="52" spans="1:15" x14ac:dyDescent="0.3">
      <c r="A52" t="s">
        <v>2325</v>
      </c>
      <c r="B52">
        <v>4</v>
      </c>
      <c r="C52" s="1">
        <v>44546</v>
      </c>
      <c r="D52" t="s">
        <v>2326</v>
      </c>
      <c r="E52" t="s">
        <v>2327</v>
      </c>
      <c r="F52" t="s">
        <v>15</v>
      </c>
      <c r="G52" t="s">
        <v>95</v>
      </c>
      <c r="H52">
        <v>99</v>
      </c>
      <c r="I52">
        <v>1965</v>
      </c>
      <c r="J52" t="s">
        <v>1423</v>
      </c>
      <c r="K52">
        <v>27166</v>
      </c>
      <c r="L52" s="1">
        <v>23867</v>
      </c>
      <c r="M52" s="1" t="s">
        <v>3155</v>
      </c>
      <c r="N52" t="s">
        <v>2171</v>
      </c>
      <c r="O52" t="s">
        <v>3149</v>
      </c>
    </row>
    <row r="53" spans="1:15" x14ac:dyDescent="0.3">
      <c r="A53" t="s">
        <v>2337</v>
      </c>
      <c r="B53">
        <v>6</v>
      </c>
      <c r="C53" s="1">
        <v>45112</v>
      </c>
      <c r="D53" t="s">
        <v>2338</v>
      </c>
      <c r="E53" t="s">
        <v>2339</v>
      </c>
      <c r="F53" t="s">
        <v>15</v>
      </c>
      <c r="G53" t="s">
        <v>41</v>
      </c>
      <c r="H53">
        <v>105</v>
      </c>
      <c r="I53">
        <v>1965</v>
      </c>
      <c r="J53" t="s">
        <v>1162</v>
      </c>
      <c r="K53">
        <v>56502</v>
      </c>
      <c r="L53" s="1">
        <v>23881</v>
      </c>
      <c r="M53" s="1" t="s">
        <v>3171</v>
      </c>
      <c r="N53" t="s">
        <v>1393</v>
      </c>
      <c r="O53" t="s">
        <v>3149</v>
      </c>
    </row>
    <row r="54" spans="1:15" x14ac:dyDescent="0.3">
      <c r="A54" t="s">
        <v>2340</v>
      </c>
      <c r="B54">
        <v>6</v>
      </c>
      <c r="C54" s="1">
        <v>44761</v>
      </c>
      <c r="D54" t="s">
        <v>2341</v>
      </c>
      <c r="E54" t="s">
        <v>2342</v>
      </c>
      <c r="F54" t="s">
        <v>15</v>
      </c>
      <c r="G54" t="s">
        <v>16</v>
      </c>
      <c r="H54">
        <v>70</v>
      </c>
      <c r="I54">
        <v>1965</v>
      </c>
      <c r="J54" t="s">
        <v>24</v>
      </c>
      <c r="K54">
        <v>410</v>
      </c>
      <c r="L54" s="1">
        <v>24107</v>
      </c>
      <c r="M54" s="1" t="s">
        <v>3179</v>
      </c>
      <c r="N54" t="s">
        <v>822</v>
      </c>
      <c r="O54" t="s">
        <v>3149</v>
      </c>
    </row>
    <row r="55" spans="1:15" x14ac:dyDescent="0.3">
      <c r="A55" t="s">
        <v>2347</v>
      </c>
      <c r="B55">
        <v>6</v>
      </c>
      <c r="C55" s="1">
        <v>44200</v>
      </c>
      <c r="D55" t="s">
        <v>2348</v>
      </c>
      <c r="E55" t="s">
        <v>2349</v>
      </c>
      <c r="F55" t="s">
        <v>15</v>
      </c>
      <c r="G55" t="s">
        <v>56</v>
      </c>
      <c r="H55">
        <v>111</v>
      </c>
      <c r="I55">
        <v>1966</v>
      </c>
      <c r="J55" t="s">
        <v>178</v>
      </c>
      <c r="K55">
        <v>66625</v>
      </c>
      <c r="L55" s="1">
        <v>24459</v>
      </c>
      <c r="M55" s="1" t="s">
        <v>3194</v>
      </c>
      <c r="N55" t="s">
        <v>2350</v>
      </c>
      <c r="O55" t="s">
        <v>3149</v>
      </c>
    </row>
    <row r="56" spans="1:15" x14ac:dyDescent="0.3">
      <c r="A56" t="s">
        <v>2351</v>
      </c>
      <c r="B56">
        <v>7</v>
      </c>
      <c r="C56" s="1">
        <v>44608</v>
      </c>
      <c r="D56" t="s">
        <v>2352</v>
      </c>
      <c r="E56" t="s">
        <v>2353</v>
      </c>
      <c r="F56" t="s">
        <v>15</v>
      </c>
      <c r="G56" t="s">
        <v>148</v>
      </c>
      <c r="H56">
        <v>110</v>
      </c>
      <c r="I56">
        <v>1966</v>
      </c>
      <c r="J56" t="s">
        <v>42</v>
      </c>
      <c r="K56">
        <v>17043</v>
      </c>
      <c r="L56" s="1">
        <v>24188</v>
      </c>
      <c r="M56" s="1" t="s">
        <v>3155</v>
      </c>
      <c r="N56" t="s">
        <v>2171</v>
      </c>
      <c r="O56" t="s">
        <v>3149</v>
      </c>
    </row>
    <row r="57" spans="1:15" x14ac:dyDescent="0.3">
      <c r="A57" t="s">
        <v>2354</v>
      </c>
      <c r="B57">
        <v>7</v>
      </c>
      <c r="C57" s="1">
        <v>44536</v>
      </c>
      <c r="D57" t="s">
        <v>2355</v>
      </c>
      <c r="E57" t="s">
        <v>2356</v>
      </c>
      <c r="F57" t="s">
        <v>15</v>
      </c>
      <c r="G57" t="s">
        <v>334</v>
      </c>
      <c r="H57">
        <v>85</v>
      </c>
      <c r="I57">
        <v>1966</v>
      </c>
      <c r="J57" t="s">
        <v>117</v>
      </c>
      <c r="K57">
        <v>128713</v>
      </c>
      <c r="L57" s="1">
        <v>24398</v>
      </c>
      <c r="M57" s="1" t="s">
        <v>3186</v>
      </c>
      <c r="N57" t="s">
        <v>2357</v>
      </c>
      <c r="O57" t="s">
        <v>3149</v>
      </c>
    </row>
    <row r="58" spans="1:15" x14ac:dyDescent="0.3">
      <c r="A58" t="s">
        <v>2358</v>
      </c>
      <c r="B58">
        <v>7</v>
      </c>
      <c r="C58" s="1">
        <v>44462</v>
      </c>
      <c r="D58" t="s">
        <v>2359</v>
      </c>
      <c r="E58" t="s">
        <v>2360</v>
      </c>
      <c r="F58" t="s">
        <v>15</v>
      </c>
      <c r="G58" t="s">
        <v>16</v>
      </c>
      <c r="H58">
        <v>75</v>
      </c>
      <c r="I58">
        <v>1966</v>
      </c>
      <c r="J58" t="s">
        <v>235</v>
      </c>
      <c r="K58">
        <v>14850</v>
      </c>
      <c r="L58" s="1">
        <v>24471</v>
      </c>
      <c r="M58" s="1" t="s">
        <v>3178</v>
      </c>
      <c r="N58" t="s">
        <v>2361</v>
      </c>
      <c r="O58" t="s">
        <v>3175</v>
      </c>
    </row>
    <row r="59" spans="1:15" x14ac:dyDescent="0.3">
      <c r="A59" t="s">
        <v>2374</v>
      </c>
      <c r="B59">
        <v>8</v>
      </c>
      <c r="C59" s="1">
        <v>43904</v>
      </c>
      <c r="D59" t="s">
        <v>2375</v>
      </c>
      <c r="E59" t="s">
        <v>2376</v>
      </c>
      <c r="F59" t="s">
        <v>15</v>
      </c>
      <c r="G59" t="s">
        <v>29</v>
      </c>
      <c r="H59">
        <v>106</v>
      </c>
      <c r="I59">
        <v>1967</v>
      </c>
      <c r="J59" t="s">
        <v>17</v>
      </c>
      <c r="K59">
        <v>285680</v>
      </c>
      <c r="L59" s="1">
        <v>24826</v>
      </c>
      <c r="M59" s="1" t="s">
        <v>3165</v>
      </c>
      <c r="N59" t="s">
        <v>1796</v>
      </c>
      <c r="O59" t="s">
        <v>3149</v>
      </c>
    </row>
    <row r="60" spans="1:15" x14ac:dyDescent="0.3">
      <c r="A60" t="s">
        <v>2377</v>
      </c>
      <c r="B60">
        <v>5</v>
      </c>
      <c r="C60" s="1">
        <v>44824</v>
      </c>
      <c r="D60" t="s">
        <v>2378</v>
      </c>
      <c r="E60" t="s">
        <v>2379</v>
      </c>
      <c r="F60" t="s">
        <v>15</v>
      </c>
      <c r="G60" t="s">
        <v>148</v>
      </c>
      <c r="H60">
        <v>73</v>
      </c>
      <c r="I60">
        <v>1967</v>
      </c>
      <c r="J60" t="s">
        <v>261</v>
      </c>
      <c r="K60">
        <v>11855</v>
      </c>
      <c r="L60" s="1">
        <v>24821</v>
      </c>
      <c r="M60" s="1" t="s">
        <v>3178</v>
      </c>
      <c r="N60" t="s">
        <v>2380</v>
      </c>
      <c r="O60" t="s">
        <v>3149</v>
      </c>
    </row>
    <row r="61" spans="1:15" x14ac:dyDescent="0.3">
      <c r="A61" t="s">
        <v>2384</v>
      </c>
      <c r="B61">
        <v>6</v>
      </c>
      <c r="C61" s="1">
        <v>45220</v>
      </c>
      <c r="D61" t="s">
        <v>2385</v>
      </c>
      <c r="E61" t="s">
        <v>2386</v>
      </c>
      <c r="F61" t="s">
        <v>15</v>
      </c>
      <c r="G61" t="s">
        <v>163</v>
      </c>
      <c r="H61">
        <v>123</v>
      </c>
      <c r="I61">
        <v>1967</v>
      </c>
      <c r="J61" t="s">
        <v>1876</v>
      </c>
      <c r="K61">
        <v>9574</v>
      </c>
      <c r="L61" s="1">
        <v>24819</v>
      </c>
      <c r="M61" s="1" t="s">
        <v>3165</v>
      </c>
      <c r="N61" t="s">
        <v>2387</v>
      </c>
      <c r="O61" t="s">
        <v>3149</v>
      </c>
    </row>
    <row r="62" spans="1:15" x14ac:dyDescent="0.3">
      <c r="A62" t="s">
        <v>2388</v>
      </c>
      <c r="B62">
        <v>9</v>
      </c>
      <c r="C62" s="1">
        <v>44064</v>
      </c>
      <c r="D62" s="3" t="s">
        <v>2389</v>
      </c>
      <c r="E62" t="s">
        <v>2390</v>
      </c>
      <c r="F62" t="s">
        <v>15</v>
      </c>
      <c r="G62" t="s">
        <v>187</v>
      </c>
      <c r="H62">
        <v>149</v>
      </c>
      <c r="I62">
        <v>1968</v>
      </c>
      <c r="J62" t="s">
        <v>2391</v>
      </c>
      <c r="K62">
        <v>707652</v>
      </c>
      <c r="L62" s="1">
        <v>24930</v>
      </c>
      <c r="M62" s="1" t="s">
        <v>3165</v>
      </c>
      <c r="N62" t="s">
        <v>537</v>
      </c>
      <c r="O62" t="s">
        <v>3149</v>
      </c>
    </row>
    <row r="63" spans="1:15" x14ac:dyDescent="0.3">
      <c r="A63" t="s">
        <v>2392</v>
      </c>
      <c r="B63">
        <v>5</v>
      </c>
      <c r="C63" s="1">
        <v>43926</v>
      </c>
      <c r="D63" t="s">
        <v>2393</v>
      </c>
      <c r="E63" t="s">
        <v>2394</v>
      </c>
      <c r="F63" t="s">
        <v>15</v>
      </c>
      <c r="G63" t="s">
        <v>29</v>
      </c>
      <c r="H63">
        <v>137</v>
      </c>
      <c r="I63">
        <v>1968</v>
      </c>
      <c r="J63" t="s">
        <v>1153</v>
      </c>
      <c r="K63">
        <v>231560</v>
      </c>
      <c r="L63" s="1">
        <v>25001</v>
      </c>
      <c r="M63" s="1" t="s">
        <v>3165</v>
      </c>
      <c r="N63" t="s">
        <v>1393</v>
      </c>
      <c r="O63" t="s">
        <v>3149</v>
      </c>
    </row>
    <row r="64" spans="1:15" x14ac:dyDescent="0.3">
      <c r="A64" t="s">
        <v>2402</v>
      </c>
      <c r="B64">
        <v>7</v>
      </c>
      <c r="C64" s="1">
        <v>44390</v>
      </c>
      <c r="D64" t="s">
        <v>3150</v>
      </c>
      <c r="E64" t="s">
        <v>2403</v>
      </c>
      <c r="F64" t="s">
        <v>15</v>
      </c>
      <c r="G64" t="s">
        <v>369</v>
      </c>
      <c r="H64">
        <v>153</v>
      </c>
      <c r="I64">
        <v>1971</v>
      </c>
      <c r="J64" t="s">
        <v>1339</v>
      </c>
      <c r="K64">
        <v>7123</v>
      </c>
      <c r="L64" s="1">
        <v>26105</v>
      </c>
      <c r="M64" s="1" t="s">
        <v>3163</v>
      </c>
      <c r="N64" t="s">
        <v>2404</v>
      </c>
      <c r="O64" t="s">
        <v>3149</v>
      </c>
    </row>
    <row r="65" spans="1:15" x14ac:dyDescent="0.3">
      <c r="A65" t="s">
        <v>2409</v>
      </c>
      <c r="B65">
        <v>4</v>
      </c>
      <c r="C65" s="1">
        <v>44123</v>
      </c>
      <c r="D65" t="s">
        <v>2410</v>
      </c>
      <c r="E65" t="s">
        <v>2411</v>
      </c>
      <c r="F65" t="s">
        <v>15</v>
      </c>
      <c r="G65" t="s">
        <v>198</v>
      </c>
      <c r="H65">
        <v>77</v>
      </c>
      <c r="I65">
        <v>1970</v>
      </c>
      <c r="J65" t="s">
        <v>2412</v>
      </c>
      <c r="K65">
        <v>10954</v>
      </c>
      <c r="L65" s="1">
        <v>25814</v>
      </c>
      <c r="M65" s="1" t="s">
        <v>3178</v>
      </c>
      <c r="N65" t="s">
        <v>2413</v>
      </c>
      <c r="O65" t="s">
        <v>3149</v>
      </c>
    </row>
    <row r="66" spans="1:15" x14ac:dyDescent="0.3">
      <c r="A66" t="s">
        <v>2414</v>
      </c>
      <c r="B66">
        <v>9</v>
      </c>
      <c r="C66" s="1">
        <v>44037</v>
      </c>
      <c r="D66" t="s">
        <v>2415</v>
      </c>
      <c r="E66" t="s">
        <v>2416</v>
      </c>
      <c r="F66" t="s">
        <v>15</v>
      </c>
      <c r="G66" t="s">
        <v>187</v>
      </c>
      <c r="H66">
        <v>136</v>
      </c>
      <c r="I66">
        <v>1971</v>
      </c>
      <c r="J66" t="s">
        <v>2417</v>
      </c>
      <c r="K66">
        <v>869212</v>
      </c>
      <c r="L66" s="1">
        <v>26286</v>
      </c>
      <c r="M66" s="1" t="s">
        <v>3165</v>
      </c>
      <c r="N66" t="s">
        <v>537</v>
      </c>
      <c r="O66" t="s">
        <v>3149</v>
      </c>
    </row>
    <row r="67" spans="1:15" x14ac:dyDescent="0.3">
      <c r="A67" t="s">
        <v>2427</v>
      </c>
      <c r="B67">
        <v>6</v>
      </c>
      <c r="C67" s="1">
        <v>44644</v>
      </c>
      <c r="D67" t="s">
        <v>2428</v>
      </c>
      <c r="E67" t="s">
        <v>2429</v>
      </c>
      <c r="F67" t="s">
        <v>15</v>
      </c>
      <c r="G67" t="s">
        <v>29</v>
      </c>
      <c r="H67">
        <v>118</v>
      </c>
      <c r="I67">
        <v>1971</v>
      </c>
      <c r="J67" t="s">
        <v>42</v>
      </c>
      <c r="K67">
        <v>51606</v>
      </c>
      <c r="L67" s="1">
        <v>26208</v>
      </c>
      <c r="M67" s="1" t="s">
        <v>3165</v>
      </c>
      <c r="N67" t="s">
        <v>2430</v>
      </c>
      <c r="O67" t="s">
        <v>3149</v>
      </c>
    </row>
    <row r="68" spans="1:15" x14ac:dyDescent="0.3">
      <c r="A68" t="s">
        <v>2437</v>
      </c>
      <c r="B68">
        <v>6</v>
      </c>
      <c r="C68" s="1">
        <v>45280</v>
      </c>
      <c r="D68" t="s">
        <v>2438</v>
      </c>
      <c r="E68" t="s">
        <v>2439</v>
      </c>
      <c r="F68" t="s">
        <v>15</v>
      </c>
      <c r="G68" t="s">
        <v>41</v>
      </c>
      <c r="H68">
        <v>124</v>
      </c>
      <c r="I68">
        <v>1972</v>
      </c>
      <c r="J68" t="s">
        <v>42</v>
      </c>
      <c r="K68">
        <v>10796</v>
      </c>
      <c r="L68" s="1">
        <v>26475</v>
      </c>
      <c r="M68" s="1" t="s">
        <v>3180</v>
      </c>
      <c r="N68" t="s">
        <v>2440</v>
      </c>
      <c r="O68" t="s">
        <v>3149</v>
      </c>
    </row>
    <row r="69" spans="1:15" x14ac:dyDescent="0.3">
      <c r="A69" t="s">
        <v>2445</v>
      </c>
      <c r="B69">
        <v>8</v>
      </c>
      <c r="C69" s="1">
        <v>45109</v>
      </c>
      <c r="D69" t="s">
        <v>2446</v>
      </c>
      <c r="E69" t="s">
        <v>2447</v>
      </c>
      <c r="F69" t="s">
        <v>15</v>
      </c>
      <c r="G69" t="s">
        <v>61</v>
      </c>
      <c r="H69">
        <v>124</v>
      </c>
      <c r="I69">
        <v>1972</v>
      </c>
      <c r="J69" t="s">
        <v>347</v>
      </c>
      <c r="K69">
        <v>58440</v>
      </c>
      <c r="L69" s="1">
        <v>26342</v>
      </c>
      <c r="M69" s="1" t="s">
        <v>3165</v>
      </c>
      <c r="N69" t="s">
        <v>2448</v>
      </c>
      <c r="O69" t="s">
        <v>3149</v>
      </c>
    </row>
    <row r="70" spans="1:15" x14ac:dyDescent="0.3">
      <c r="A70" t="s">
        <v>2453</v>
      </c>
      <c r="B70">
        <v>7</v>
      </c>
      <c r="C70" s="1">
        <v>44553</v>
      </c>
      <c r="D70" t="s">
        <v>2454</v>
      </c>
      <c r="E70" t="s">
        <v>2455</v>
      </c>
      <c r="F70" t="s">
        <v>15</v>
      </c>
      <c r="G70" t="s">
        <v>158</v>
      </c>
      <c r="H70">
        <v>88</v>
      </c>
      <c r="I70">
        <v>1972</v>
      </c>
      <c r="J70" t="s">
        <v>235</v>
      </c>
      <c r="K70">
        <v>41347</v>
      </c>
      <c r="L70" s="1">
        <v>26517</v>
      </c>
      <c r="M70" s="1" t="s">
        <v>3165</v>
      </c>
      <c r="N70" t="s">
        <v>977</v>
      </c>
      <c r="O70" t="s">
        <v>3149</v>
      </c>
    </row>
    <row r="71" spans="1:15" x14ac:dyDescent="0.3">
      <c r="A71" t="s">
        <v>2460</v>
      </c>
      <c r="B71">
        <v>7</v>
      </c>
      <c r="C71" s="1">
        <v>44787</v>
      </c>
      <c r="D71" t="s">
        <v>2461</v>
      </c>
      <c r="E71" t="s">
        <v>2462</v>
      </c>
      <c r="F71" t="s">
        <v>15</v>
      </c>
      <c r="G71" t="s">
        <v>79</v>
      </c>
      <c r="H71">
        <v>90</v>
      </c>
      <c r="I71">
        <v>1972</v>
      </c>
      <c r="J71" t="s">
        <v>1171</v>
      </c>
      <c r="K71">
        <v>9059</v>
      </c>
      <c r="L71" s="1">
        <v>26639</v>
      </c>
      <c r="M71" s="1" t="s">
        <v>3155</v>
      </c>
      <c r="N71" t="s">
        <v>2463</v>
      </c>
      <c r="O71" t="s">
        <v>3149</v>
      </c>
    </row>
    <row r="72" spans="1:15" x14ac:dyDescent="0.3">
      <c r="A72" t="s">
        <v>2468</v>
      </c>
      <c r="B72">
        <v>6</v>
      </c>
      <c r="C72" s="1">
        <v>45215</v>
      </c>
      <c r="D72" t="s">
        <v>2469</v>
      </c>
      <c r="E72" t="s">
        <v>2470</v>
      </c>
      <c r="F72" t="s">
        <v>15</v>
      </c>
      <c r="G72" t="s">
        <v>163</v>
      </c>
      <c r="H72">
        <v>93</v>
      </c>
      <c r="I72">
        <v>1972</v>
      </c>
      <c r="J72" t="s">
        <v>503</v>
      </c>
      <c r="K72">
        <v>27336</v>
      </c>
      <c r="L72" s="1">
        <v>26375</v>
      </c>
      <c r="M72" s="1" t="s">
        <v>3165</v>
      </c>
      <c r="N72" t="s">
        <v>2471</v>
      </c>
      <c r="O72" t="s">
        <v>3149</v>
      </c>
    </row>
    <row r="73" spans="1:15" x14ac:dyDescent="0.3">
      <c r="A73" t="s">
        <v>2489</v>
      </c>
      <c r="B73">
        <v>8</v>
      </c>
      <c r="C73" s="1">
        <v>44394</v>
      </c>
      <c r="D73" t="s">
        <v>2490</v>
      </c>
      <c r="E73" t="s">
        <v>2491</v>
      </c>
      <c r="F73" t="s">
        <v>15</v>
      </c>
      <c r="G73" t="s">
        <v>148</v>
      </c>
      <c r="H73">
        <v>110</v>
      </c>
      <c r="I73">
        <v>1973</v>
      </c>
      <c r="J73" t="s">
        <v>261</v>
      </c>
      <c r="K73">
        <v>96883</v>
      </c>
      <c r="L73" s="1">
        <v>26872</v>
      </c>
      <c r="M73" s="1" t="s">
        <v>3165</v>
      </c>
      <c r="N73" t="s">
        <v>2492</v>
      </c>
      <c r="O73" t="s">
        <v>3149</v>
      </c>
    </row>
    <row r="74" spans="1:15" x14ac:dyDescent="0.3">
      <c r="A74" t="s">
        <v>2496</v>
      </c>
      <c r="B74">
        <v>6</v>
      </c>
      <c r="C74" s="1">
        <v>45132</v>
      </c>
      <c r="D74" t="s">
        <v>2497</v>
      </c>
      <c r="E74" t="s">
        <v>2498</v>
      </c>
      <c r="F74" t="s">
        <v>15</v>
      </c>
      <c r="G74" t="s">
        <v>198</v>
      </c>
      <c r="H74">
        <v>110</v>
      </c>
      <c r="I74">
        <v>1973</v>
      </c>
      <c r="J74" t="s">
        <v>2277</v>
      </c>
      <c r="K74">
        <v>61232</v>
      </c>
      <c r="L74" s="1">
        <v>26948</v>
      </c>
      <c r="M74" s="1" t="s">
        <v>3171</v>
      </c>
      <c r="N74" t="s">
        <v>2499</v>
      </c>
      <c r="O74" t="s">
        <v>3149</v>
      </c>
    </row>
    <row r="75" spans="1:15" x14ac:dyDescent="0.3">
      <c r="A75" t="s">
        <v>2503</v>
      </c>
      <c r="B75">
        <v>7</v>
      </c>
      <c r="C75" s="1">
        <v>44380</v>
      </c>
      <c r="D75" t="s">
        <v>2504</v>
      </c>
      <c r="E75" t="s">
        <v>2505</v>
      </c>
      <c r="F75" t="s">
        <v>15</v>
      </c>
      <c r="G75" t="s">
        <v>61</v>
      </c>
      <c r="H75">
        <v>123</v>
      </c>
      <c r="I75">
        <v>1973</v>
      </c>
      <c r="J75" t="s">
        <v>261</v>
      </c>
      <c r="K75">
        <v>46183</v>
      </c>
      <c r="L75" s="1">
        <v>27016</v>
      </c>
      <c r="M75" s="1" t="s">
        <v>3194</v>
      </c>
      <c r="N75" t="s">
        <v>2118</v>
      </c>
      <c r="O75" t="s">
        <v>3149</v>
      </c>
    </row>
    <row r="76" spans="1:15" x14ac:dyDescent="0.3">
      <c r="A76" t="s">
        <v>2516</v>
      </c>
      <c r="B76">
        <v>6</v>
      </c>
      <c r="C76" s="1">
        <v>45245</v>
      </c>
      <c r="D76" t="s">
        <v>2517</v>
      </c>
      <c r="E76" t="s">
        <v>2518</v>
      </c>
      <c r="F76" t="s">
        <v>15</v>
      </c>
      <c r="G76" t="s">
        <v>35</v>
      </c>
      <c r="H76">
        <v>103</v>
      </c>
      <c r="I76">
        <v>1975</v>
      </c>
      <c r="J76" t="s">
        <v>24</v>
      </c>
      <c r="K76">
        <v>3790</v>
      </c>
      <c r="L76" s="1">
        <v>27467</v>
      </c>
      <c r="M76" s="1" t="s">
        <v>3180</v>
      </c>
      <c r="N76" t="s">
        <v>2519</v>
      </c>
      <c r="O76" t="s">
        <v>3149</v>
      </c>
    </row>
    <row r="77" spans="1:15" x14ac:dyDescent="0.3">
      <c r="A77" t="s">
        <v>2520</v>
      </c>
      <c r="B77">
        <v>8</v>
      </c>
      <c r="C77" s="1">
        <v>44200</v>
      </c>
      <c r="D77" t="s">
        <v>2521</v>
      </c>
      <c r="E77" t="s">
        <v>2522</v>
      </c>
      <c r="F77" t="s">
        <v>15</v>
      </c>
      <c r="G77" t="s">
        <v>369</v>
      </c>
      <c r="H77">
        <v>91</v>
      </c>
      <c r="I77">
        <v>1975</v>
      </c>
      <c r="J77" t="s">
        <v>901</v>
      </c>
      <c r="K77">
        <v>563771</v>
      </c>
      <c r="L77" s="1">
        <v>27467</v>
      </c>
      <c r="M77" s="1" t="s">
        <v>3171</v>
      </c>
      <c r="N77" t="s">
        <v>2523</v>
      </c>
      <c r="O77" t="s">
        <v>3149</v>
      </c>
    </row>
    <row r="78" spans="1:15" x14ac:dyDescent="0.3">
      <c r="A78" t="s">
        <v>2533</v>
      </c>
      <c r="B78">
        <v>6</v>
      </c>
      <c r="C78" s="1">
        <v>45083</v>
      </c>
      <c r="D78" t="s">
        <v>2534</v>
      </c>
      <c r="E78" t="s">
        <v>2535</v>
      </c>
      <c r="F78" t="s">
        <v>15</v>
      </c>
      <c r="G78" t="s">
        <v>524</v>
      </c>
      <c r="H78">
        <v>118</v>
      </c>
      <c r="I78">
        <v>1974</v>
      </c>
      <c r="J78" t="s">
        <v>24</v>
      </c>
      <c r="K78">
        <v>14429</v>
      </c>
      <c r="L78" s="1">
        <v>27122</v>
      </c>
      <c r="M78" s="1" t="s">
        <v>3194</v>
      </c>
      <c r="N78" t="s">
        <v>2536</v>
      </c>
      <c r="O78" t="s">
        <v>3175</v>
      </c>
    </row>
    <row r="79" spans="1:15" x14ac:dyDescent="0.3">
      <c r="A79" t="s">
        <v>2549</v>
      </c>
      <c r="B79">
        <v>8</v>
      </c>
      <c r="C79" s="1">
        <v>44342</v>
      </c>
      <c r="D79" t="s">
        <v>2550</v>
      </c>
      <c r="E79" t="s">
        <v>2551</v>
      </c>
      <c r="F79" t="s">
        <v>15</v>
      </c>
      <c r="G79" t="s">
        <v>1409</v>
      </c>
      <c r="H79">
        <v>133</v>
      </c>
      <c r="I79">
        <v>1975</v>
      </c>
      <c r="J79" t="s">
        <v>24</v>
      </c>
      <c r="K79">
        <v>1055258</v>
      </c>
      <c r="L79" s="1">
        <v>27717</v>
      </c>
      <c r="M79" s="1" t="s">
        <v>3165</v>
      </c>
      <c r="N79" t="s">
        <v>2380</v>
      </c>
      <c r="O79" t="s">
        <v>3149</v>
      </c>
    </row>
    <row r="80" spans="1:15" x14ac:dyDescent="0.3">
      <c r="A80" t="s">
        <v>2557</v>
      </c>
      <c r="B80">
        <v>7</v>
      </c>
      <c r="C80" s="1">
        <v>43750</v>
      </c>
      <c r="D80" t="s">
        <v>2558</v>
      </c>
      <c r="E80" t="s">
        <v>2559</v>
      </c>
      <c r="F80" t="s">
        <v>15</v>
      </c>
      <c r="G80" t="s">
        <v>148</v>
      </c>
      <c r="H80">
        <v>100</v>
      </c>
      <c r="I80">
        <v>1975</v>
      </c>
      <c r="J80" t="s">
        <v>2560</v>
      </c>
      <c r="K80">
        <v>164609</v>
      </c>
      <c r="L80" s="1">
        <v>27620</v>
      </c>
      <c r="M80" s="1" t="s">
        <v>3171</v>
      </c>
      <c r="N80" t="s">
        <v>2561</v>
      </c>
      <c r="O80" t="s">
        <v>3149</v>
      </c>
    </row>
    <row r="81" spans="1:15" x14ac:dyDescent="0.3">
      <c r="A81" t="s">
        <v>2574</v>
      </c>
      <c r="B81">
        <v>6</v>
      </c>
      <c r="C81" s="1">
        <v>44180</v>
      </c>
      <c r="D81" t="s">
        <v>2575</v>
      </c>
      <c r="E81" t="s">
        <v>2576</v>
      </c>
      <c r="F81" t="s">
        <v>15</v>
      </c>
      <c r="G81" t="s">
        <v>16</v>
      </c>
      <c r="H81">
        <v>89</v>
      </c>
      <c r="I81">
        <v>1977</v>
      </c>
      <c r="J81" t="s">
        <v>2577</v>
      </c>
      <c r="K81">
        <v>125117</v>
      </c>
      <c r="L81" s="1">
        <v>28203</v>
      </c>
      <c r="M81" s="1" t="s">
        <v>3165</v>
      </c>
      <c r="N81" t="s">
        <v>452</v>
      </c>
      <c r="O81" t="s">
        <v>3149</v>
      </c>
    </row>
    <row r="82" spans="1:15" x14ac:dyDescent="0.3">
      <c r="A82" t="s">
        <v>2583</v>
      </c>
      <c r="B82">
        <v>7</v>
      </c>
      <c r="C82" s="1">
        <v>44144</v>
      </c>
      <c r="D82" t="s">
        <v>2584</v>
      </c>
      <c r="E82" t="s">
        <v>2585</v>
      </c>
      <c r="F82" t="s">
        <v>15</v>
      </c>
      <c r="G82" t="s">
        <v>369</v>
      </c>
      <c r="H82">
        <v>114</v>
      </c>
      <c r="I82">
        <v>1976</v>
      </c>
      <c r="J82" t="s">
        <v>325</v>
      </c>
      <c r="K82">
        <v>901310</v>
      </c>
      <c r="L82" s="1">
        <v>27798</v>
      </c>
      <c r="M82" s="1" t="s">
        <v>3165</v>
      </c>
      <c r="N82" t="s">
        <v>371</v>
      </c>
      <c r="O82" t="s">
        <v>3149</v>
      </c>
    </row>
    <row r="83" spans="1:15" x14ac:dyDescent="0.3">
      <c r="A83" t="s">
        <v>2590</v>
      </c>
      <c r="B83">
        <v>7</v>
      </c>
      <c r="C83" s="1">
        <v>44241</v>
      </c>
      <c r="D83" t="s">
        <v>2591</v>
      </c>
      <c r="E83" t="s">
        <v>2592</v>
      </c>
      <c r="F83" t="s">
        <v>15</v>
      </c>
      <c r="G83" t="s">
        <v>29</v>
      </c>
      <c r="H83">
        <v>93</v>
      </c>
      <c r="I83">
        <v>1977</v>
      </c>
      <c r="J83" t="s">
        <v>225</v>
      </c>
      <c r="K83">
        <v>274972</v>
      </c>
      <c r="L83" s="1">
        <v>28211</v>
      </c>
      <c r="M83" s="1" t="s">
        <v>3165</v>
      </c>
      <c r="N83" t="s">
        <v>977</v>
      </c>
      <c r="O83" t="s">
        <v>3149</v>
      </c>
    </row>
    <row r="84" spans="1:15" x14ac:dyDescent="0.3">
      <c r="A84" t="s">
        <v>2602</v>
      </c>
      <c r="B84">
        <v>7</v>
      </c>
      <c r="C84" s="1">
        <v>45073</v>
      </c>
      <c r="D84" t="s">
        <v>156</v>
      </c>
      <c r="E84" t="s">
        <v>2603</v>
      </c>
      <c r="F84" t="s">
        <v>15</v>
      </c>
      <c r="G84" t="s">
        <v>16</v>
      </c>
      <c r="H84">
        <v>99</v>
      </c>
      <c r="I84">
        <v>1977</v>
      </c>
      <c r="J84" t="s">
        <v>2604</v>
      </c>
      <c r="K84">
        <v>103315</v>
      </c>
      <c r="L84" s="1">
        <v>28157</v>
      </c>
      <c r="M84" s="1" t="s">
        <v>3194</v>
      </c>
      <c r="N84" t="s">
        <v>2605</v>
      </c>
      <c r="O84" t="s">
        <v>3149</v>
      </c>
    </row>
    <row r="85" spans="1:15" x14ac:dyDescent="0.3">
      <c r="A85" t="s">
        <v>2661</v>
      </c>
      <c r="B85">
        <v>6</v>
      </c>
      <c r="C85" s="1">
        <v>45142</v>
      </c>
      <c r="D85" t="s">
        <v>2662</v>
      </c>
      <c r="E85" t="s">
        <v>2663</v>
      </c>
      <c r="F85" t="s">
        <v>15</v>
      </c>
      <c r="G85" t="s">
        <v>23</v>
      </c>
      <c r="H85">
        <v>117</v>
      </c>
      <c r="I85">
        <v>1979</v>
      </c>
      <c r="J85" t="s">
        <v>2664</v>
      </c>
      <c r="K85">
        <v>933335</v>
      </c>
      <c r="L85" s="1">
        <v>29000</v>
      </c>
      <c r="M85" s="1" t="s">
        <v>3165</v>
      </c>
      <c r="N85" t="s">
        <v>139</v>
      </c>
      <c r="O85" t="s">
        <v>3149</v>
      </c>
    </row>
    <row r="86" spans="1:15" x14ac:dyDescent="0.3">
      <c r="A86" t="s">
        <v>2669</v>
      </c>
      <c r="B86">
        <v>7</v>
      </c>
      <c r="C86" s="1">
        <v>45146</v>
      </c>
      <c r="D86" t="s">
        <v>2670</v>
      </c>
      <c r="E86" t="s">
        <v>2671</v>
      </c>
      <c r="F86" t="s">
        <v>15</v>
      </c>
      <c r="G86" t="s">
        <v>61</v>
      </c>
      <c r="H86">
        <v>123</v>
      </c>
      <c r="I86">
        <v>1979</v>
      </c>
      <c r="J86" t="s">
        <v>2672</v>
      </c>
      <c r="K86">
        <v>34568</v>
      </c>
      <c r="L86" s="1">
        <v>29205</v>
      </c>
      <c r="M86" s="1" t="s">
        <v>3165</v>
      </c>
      <c r="N86" t="s">
        <v>2448</v>
      </c>
      <c r="O86" t="s">
        <v>3149</v>
      </c>
    </row>
    <row r="87" spans="1:15" x14ac:dyDescent="0.3">
      <c r="A87" t="s">
        <v>2676</v>
      </c>
      <c r="B87">
        <v>7</v>
      </c>
      <c r="C87" s="1">
        <v>44392</v>
      </c>
      <c r="D87" t="s">
        <v>2677</v>
      </c>
      <c r="E87" t="s">
        <v>2678</v>
      </c>
      <c r="F87" t="s">
        <v>15</v>
      </c>
      <c r="G87" t="s">
        <v>927</v>
      </c>
      <c r="H87">
        <v>147</v>
      </c>
      <c r="I87">
        <v>1979</v>
      </c>
      <c r="J87" t="s">
        <v>2679</v>
      </c>
      <c r="K87">
        <v>699802</v>
      </c>
      <c r="L87" s="1">
        <v>28994</v>
      </c>
      <c r="M87" s="1" t="s">
        <v>3165</v>
      </c>
      <c r="N87" t="s">
        <v>2680</v>
      </c>
      <c r="O87" t="s">
        <v>3149</v>
      </c>
    </row>
    <row r="88" spans="1:15" x14ac:dyDescent="0.3">
      <c r="A88" t="s">
        <v>2681</v>
      </c>
      <c r="B88">
        <v>7</v>
      </c>
      <c r="C88" s="1">
        <v>45131</v>
      </c>
      <c r="D88" t="s">
        <v>2682</v>
      </c>
      <c r="E88" t="s">
        <v>2683</v>
      </c>
      <c r="F88" t="s">
        <v>15</v>
      </c>
      <c r="G88" t="s">
        <v>84</v>
      </c>
      <c r="H88">
        <v>120</v>
      </c>
      <c r="I88">
        <v>1979</v>
      </c>
      <c r="J88" t="s">
        <v>24</v>
      </c>
      <c r="K88">
        <v>14694</v>
      </c>
      <c r="L88" s="1">
        <v>28906</v>
      </c>
      <c r="M88" s="1" t="s">
        <v>3180</v>
      </c>
      <c r="N88" t="s">
        <v>2440</v>
      </c>
      <c r="O88" t="s">
        <v>3149</v>
      </c>
    </row>
    <row r="89" spans="1:15" x14ac:dyDescent="0.3">
      <c r="A89" t="s">
        <v>2688</v>
      </c>
      <c r="B89">
        <v>7</v>
      </c>
      <c r="C89" s="1">
        <v>44205</v>
      </c>
      <c r="D89" t="s">
        <v>2689</v>
      </c>
      <c r="E89" t="s">
        <v>2690</v>
      </c>
      <c r="F89" t="s">
        <v>15</v>
      </c>
      <c r="G89" t="s">
        <v>29</v>
      </c>
      <c r="H89">
        <v>94</v>
      </c>
      <c r="I89">
        <v>1979</v>
      </c>
      <c r="J89" t="s">
        <v>235</v>
      </c>
      <c r="K89">
        <v>418810</v>
      </c>
      <c r="L89" s="1">
        <v>29084</v>
      </c>
      <c r="M89" s="1" t="s">
        <v>3171</v>
      </c>
      <c r="N89" t="s">
        <v>2691</v>
      </c>
      <c r="O89" t="s">
        <v>3149</v>
      </c>
    </row>
    <row r="90" spans="1:15" x14ac:dyDescent="0.3">
      <c r="A90" t="s">
        <v>2692</v>
      </c>
      <c r="B90">
        <v>7</v>
      </c>
      <c r="C90" s="1">
        <v>43890</v>
      </c>
      <c r="D90" t="s">
        <v>2693</v>
      </c>
      <c r="E90" t="s">
        <v>2694</v>
      </c>
      <c r="F90" t="s">
        <v>15</v>
      </c>
      <c r="G90" t="s">
        <v>61</v>
      </c>
      <c r="H90">
        <v>96</v>
      </c>
      <c r="I90">
        <v>1979</v>
      </c>
      <c r="J90" t="s">
        <v>17</v>
      </c>
      <c r="K90">
        <v>145530</v>
      </c>
      <c r="L90" s="1">
        <v>28963</v>
      </c>
      <c r="M90" s="1" t="s">
        <v>3165</v>
      </c>
      <c r="N90" t="s">
        <v>977</v>
      </c>
      <c r="O90" t="s">
        <v>3149</v>
      </c>
    </row>
    <row r="91" spans="1:15" x14ac:dyDescent="0.3">
      <c r="A91" t="s">
        <v>2702</v>
      </c>
      <c r="B91">
        <v>7</v>
      </c>
      <c r="C91" s="1">
        <v>44737</v>
      </c>
      <c r="D91" t="s">
        <v>2703</v>
      </c>
      <c r="E91" t="s">
        <v>2704</v>
      </c>
      <c r="F91" t="s">
        <v>15</v>
      </c>
      <c r="G91" t="s">
        <v>41</v>
      </c>
      <c r="H91">
        <v>100</v>
      </c>
      <c r="I91">
        <v>1979</v>
      </c>
      <c r="J91" t="s">
        <v>24</v>
      </c>
      <c r="K91">
        <v>332</v>
      </c>
      <c r="L91" s="1">
        <v>29220</v>
      </c>
      <c r="M91" s="1" t="s">
        <v>3179</v>
      </c>
      <c r="N91" t="s">
        <v>2705</v>
      </c>
      <c r="O91" t="s">
        <v>3149</v>
      </c>
    </row>
    <row r="92" spans="1:15" x14ac:dyDescent="0.3">
      <c r="A92" t="s">
        <v>2713</v>
      </c>
      <c r="B92">
        <v>6</v>
      </c>
      <c r="C92" s="1">
        <v>44235</v>
      </c>
      <c r="D92" t="s">
        <v>2714</v>
      </c>
      <c r="E92" t="s">
        <v>2715</v>
      </c>
      <c r="F92" t="s">
        <v>15</v>
      </c>
      <c r="G92" t="s">
        <v>369</v>
      </c>
      <c r="H92">
        <v>124</v>
      </c>
      <c r="I92">
        <v>1980</v>
      </c>
      <c r="J92" t="s">
        <v>574</v>
      </c>
      <c r="K92">
        <v>254747</v>
      </c>
      <c r="L92" s="1">
        <v>29496</v>
      </c>
      <c r="M92" s="1" t="s">
        <v>3165</v>
      </c>
      <c r="N92" t="s">
        <v>452</v>
      </c>
      <c r="O92" t="s">
        <v>3149</v>
      </c>
    </row>
    <row r="93" spans="1:15" x14ac:dyDescent="0.3">
      <c r="A93" t="s">
        <v>2740</v>
      </c>
      <c r="B93">
        <v>5</v>
      </c>
      <c r="C93" s="1">
        <v>43836</v>
      </c>
      <c r="D93" t="s">
        <v>2741</v>
      </c>
      <c r="E93" t="s">
        <v>2742</v>
      </c>
      <c r="F93" t="s">
        <v>15</v>
      </c>
      <c r="G93" t="s">
        <v>927</v>
      </c>
      <c r="H93">
        <v>146</v>
      </c>
      <c r="I93">
        <v>1980</v>
      </c>
      <c r="J93" t="s">
        <v>1153</v>
      </c>
      <c r="K93">
        <v>1087589</v>
      </c>
      <c r="L93" s="1">
        <v>29364</v>
      </c>
      <c r="M93" s="1" t="s">
        <v>3165</v>
      </c>
      <c r="N93" t="s">
        <v>537</v>
      </c>
      <c r="O93" t="s">
        <v>3149</v>
      </c>
    </row>
    <row r="94" spans="1:15" x14ac:dyDescent="0.3">
      <c r="A94" t="s">
        <v>2759</v>
      </c>
      <c r="B94">
        <v>5</v>
      </c>
      <c r="C94" s="1">
        <v>45136</v>
      </c>
      <c r="D94" t="s">
        <v>2760</v>
      </c>
      <c r="E94" t="s">
        <v>2761</v>
      </c>
      <c r="F94" t="s">
        <v>15</v>
      </c>
      <c r="G94" t="s">
        <v>148</v>
      </c>
      <c r="H94">
        <v>115</v>
      </c>
      <c r="I94">
        <v>1981</v>
      </c>
      <c r="J94" t="s">
        <v>42</v>
      </c>
      <c r="K94">
        <v>6733</v>
      </c>
      <c r="L94" s="1">
        <v>29818</v>
      </c>
      <c r="M94" s="1" t="s">
        <v>3180</v>
      </c>
      <c r="N94" t="s">
        <v>2440</v>
      </c>
      <c r="O94" t="s">
        <v>3149</v>
      </c>
    </row>
    <row r="95" spans="1:15" x14ac:dyDescent="0.3">
      <c r="A95" t="s">
        <v>2766</v>
      </c>
      <c r="B95">
        <v>4</v>
      </c>
      <c r="C95" s="1">
        <v>44815</v>
      </c>
      <c r="D95" t="s">
        <v>2767</v>
      </c>
      <c r="E95" t="s">
        <v>2768</v>
      </c>
      <c r="F95" t="s">
        <v>15</v>
      </c>
      <c r="G95" t="s">
        <v>16</v>
      </c>
      <c r="H95">
        <v>124</v>
      </c>
      <c r="I95">
        <v>1981</v>
      </c>
      <c r="J95" t="s">
        <v>1153</v>
      </c>
      <c r="K95">
        <v>40860</v>
      </c>
      <c r="L95" s="1">
        <v>29731</v>
      </c>
      <c r="M95" s="1" t="s">
        <v>3155</v>
      </c>
      <c r="N95" t="s">
        <v>2769</v>
      </c>
      <c r="O95" t="s">
        <v>3149</v>
      </c>
    </row>
    <row r="96" spans="1:15" x14ac:dyDescent="0.3">
      <c r="A96" t="s">
        <v>2812</v>
      </c>
      <c r="B96">
        <v>6</v>
      </c>
      <c r="C96" s="1">
        <v>45253</v>
      </c>
      <c r="D96" t="s">
        <v>2813</v>
      </c>
      <c r="E96" t="s">
        <v>2814</v>
      </c>
      <c r="F96" t="s">
        <v>15</v>
      </c>
      <c r="G96" t="s">
        <v>29</v>
      </c>
      <c r="H96">
        <v>95</v>
      </c>
      <c r="I96">
        <v>1982</v>
      </c>
      <c r="J96" t="s">
        <v>2815</v>
      </c>
      <c r="K96">
        <v>84491</v>
      </c>
      <c r="L96" s="1">
        <v>30094</v>
      </c>
      <c r="M96" s="1" t="s">
        <v>3171</v>
      </c>
      <c r="N96" t="s">
        <v>2816</v>
      </c>
      <c r="O96" t="s">
        <v>3149</v>
      </c>
    </row>
    <row r="97" spans="1:15" x14ac:dyDescent="0.3">
      <c r="A97" t="s">
        <v>2817</v>
      </c>
      <c r="B97">
        <v>6</v>
      </c>
      <c r="C97" s="1">
        <v>44814</v>
      </c>
      <c r="D97" t="s">
        <v>2818</v>
      </c>
      <c r="E97" t="s">
        <v>2819</v>
      </c>
      <c r="F97" t="s">
        <v>15</v>
      </c>
      <c r="G97" t="s">
        <v>56</v>
      </c>
      <c r="H97">
        <v>92</v>
      </c>
      <c r="I97">
        <v>1983</v>
      </c>
      <c r="J97" t="s">
        <v>24</v>
      </c>
      <c r="K97">
        <v>1323</v>
      </c>
      <c r="L97" s="1">
        <v>30333</v>
      </c>
      <c r="M97" s="1" t="s">
        <v>3179</v>
      </c>
      <c r="N97" t="s">
        <v>2820</v>
      </c>
      <c r="O97" t="s">
        <v>3175</v>
      </c>
    </row>
    <row r="98" spans="1:15" x14ac:dyDescent="0.3">
      <c r="A98" t="s">
        <v>2821</v>
      </c>
      <c r="B98">
        <v>7</v>
      </c>
      <c r="C98" s="1">
        <v>44955</v>
      </c>
      <c r="D98" t="s">
        <v>2822</v>
      </c>
      <c r="E98" t="s">
        <v>2823</v>
      </c>
      <c r="F98" t="s">
        <v>15</v>
      </c>
      <c r="G98" t="s">
        <v>84</v>
      </c>
      <c r="H98">
        <v>114</v>
      </c>
      <c r="I98">
        <v>1987</v>
      </c>
      <c r="J98" t="s">
        <v>42</v>
      </c>
      <c r="K98">
        <v>10957</v>
      </c>
      <c r="L98" s="1">
        <v>31787</v>
      </c>
      <c r="M98" s="1" t="s">
        <v>3166</v>
      </c>
      <c r="N98" t="s">
        <v>86</v>
      </c>
      <c r="O98" t="s">
        <v>3149</v>
      </c>
    </row>
    <row r="99" spans="1:15" x14ac:dyDescent="0.3">
      <c r="A99" t="s">
        <v>2824</v>
      </c>
      <c r="B99">
        <v>6</v>
      </c>
      <c r="C99" s="1">
        <v>45152</v>
      </c>
      <c r="D99" t="s">
        <v>2825</v>
      </c>
      <c r="E99" t="s">
        <v>2826</v>
      </c>
      <c r="F99" t="s">
        <v>15</v>
      </c>
      <c r="G99" t="s">
        <v>41</v>
      </c>
      <c r="H99">
        <v>104</v>
      </c>
      <c r="I99">
        <v>1982</v>
      </c>
      <c r="J99" t="s">
        <v>24</v>
      </c>
      <c r="K99">
        <v>7684</v>
      </c>
      <c r="L99" s="1">
        <v>30000</v>
      </c>
      <c r="M99" s="1" t="s">
        <v>3180</v>
      </c>
      <c r="N99" t="s">
        <v>2440</v>
      </c>
      <c r="O99" t="s">
        <v>3149</v>
      </c>
    </row>
    <row r="100" spans="1:15" x14ac:dyDescent="0.3">
      <c r="A100" t="s">
        <v>2839</v>
      </c>
      <c r="B100">
        <v>5</v>
      </c>
      <c r="C100" s="1">
        <v>44145</v>
      </c>
      <c r="D100" t="s">
        <v>2840</v>
      </c>
      <c r="E100" t="s">
        <v>2841</v>
      </c>
      <c r="F100" t="s">
        <v>15</v>
      </c>
      <c r="G100" t="s">
        <v>61</v>
      </c>
      <c r="H100">
        <v>109</v>
      </c>
      <c r="I100">
        <v>1982</v>
      </c>
      <c r="J100" t="s">
        <v>2650</v>
      </c>
      <c r="K100">
        <v>115986</v>
      </c>
      <c r="L100" s="1">
        <v>30303</v>
      </c>
      <c r="M100" s="1" t="s">
        <v>3165</v>
      </c>
      <c r="N100" t="s">
        <v>371</v>
      </c>
      <c r="O100" t="s">
        <v>3149</v>
      </c>
    </row>
    <row r="101" spans="1:15" x14ac:dyDescent="0.3">
      <c r="A101" t="s">
        <v>2855</v>
      </c>
      <c r="B101">
        <v>8</v>
      </c>
      <c r="C101" s="1">
        <v>44585</v>
      </c>
      <c r="D101" t="s">
        <v>2856</v>
      </c>
      <c r="E101" t="s">
        <v>2857</v>
      </c>
      <c r="F101" t="s">
        <v>15</v>
      </c>
      <c r="G101" t="s">
        <v>187</v>
      </c>
      <c r="H101">
        <v>170</v>
      </c>
      <c r="I101">
        <v>1983</v>
      </c>
      <c r="J101" t="s">
        <v>325</v>
      </c>
      <c r="K101">
        <v>898778</v>
      </c>
      <c r="L101" s="1">
        <v>30651</v>
      </c>
      <c r="M101" s="1" t="s">
        <v>3165</v>
      </c>
      <c r="N101" t="s">
        <v>2858</v>
      </c>
      <c r="O101" t="s">
        <v>3149</v>
      </c>
    </row>
    <row r="102" spans="1:15" x14ac:dyDescent="0.3">
      <c r="A102" t="s">
        <v>2863</v>
      </c>
      <c r="B102">
        <v>6</v>
      </c>
      <c r="C102" s="1">
        <v>44884</v>
      </c>
      <c r="D102" t="s">
        <v>2864</v>
      </c>
      <c r="E102" t="s">
        <v>2865</v>
      </c>
      <c r="F102" t="s">
        <v>15</v>
      </c>
      <c r="G102" t="s">
        <v>79</v>
      </c>
      <c r="H102">
        <v>87</v>
      </c>
      <c r="I102">
        <v>1983</v>
      </c>
      <c r="J102" t="s">
        <v>2757</v>
      </c>
      <c r="K102">
        <v>101125</v>
      </c>
      <c r="L102" s="1">
        <v>30351</v>
      </c>
      <c r="M102" s="1" t="s">
        <v>3169</v>
      </c>
      <c r="N102" t="s">
        <v>253</v>
      </c>
      <c r="O102" t="s">
        <v>3149</v>
      </c>
    </row>
    <row r="103" spans="1:15" x14ac:dyDescent="0.3">
      <c r="A103" t="s">
        <v>2866</v>
      </c>
      <c r="B103">
        <v>7</v>
      </c>
      <c r="C103" s="1">
        <v>45141</v>
      </c>
      <c r="D103" t="s">
        <v>2867</v>
      </c>
      <c r="E103" t="s">
        <v>2868</v>
      </c>
      <c r="F103" t="s">
        <v>15</v>
      </c>
      <c r="G103" t="s">
        <v>927</v>
      </c>
      <c r="H103">
        <v>160</v>
      </c>
      <c r="I103">
        <v>1984</v>
      </c>
      <c r="J103" t="s">
        <v>74</v>
      </c>
      <c r="K103">
        <v>421731</v>
      </c>
      <c r="L103" s="1">
        <v>30931</v>
      </c>
      <c r="M103" s="1" t="s">
        <v>3165</v>
      </c>
      <c r="N103" t="s">
        <v>2380</v>
      </c>
      <c r="O103" t="s">
        <v>3149</v>
      </c>
    </row>
    <row r="104" spans="1:15" x14ac:dyDescent="0.3">
      <c r="A104" t="s">
        <v>2869</v>
      </c>
      <c r="B104">
        <v>4</v>
      </c>
      <c r="C104" s="1">
        <v>44901</v>
      </c>
      <c r="D104" t="s">
        <v>2870</v>
      </c>
      <c r="E104" t="s">
        <v>2871</v>
      </c>
      <c r="F104" t="s">
        <v>15</v>
      </c>
      <c r="G104" t="s">
        <v>67</v>
      </c>
      <c r="H104">
        <v>114</v>
      </c>
      <c r="I104">
        <v>1984</v>
      </c>
      <c r="J104" t="s">
        <v>409</v>
      </c>
      <c r="K104">
        <v>37248</v>
      </c>
      <c r="L104" s="1">
        <v>30970</v>
      </c>
      <c r="M104" s="1" t="s">
        <v>3165</v>
      </c>
      <c r="N104" t="s">
        <v>2858</v>
      </c>
      <c r="O104" t="s">
        <v>3149</v>
      </c>
    </row>
    <row r="105" spans="1:15" x14ac:dyDescent="0.3">
      <c r="A105" t="s">
        <v>2893</v>
      </c>
      <c r="B105">
        <v>8</v>
      </c>
      <c r="C105" s="1">
        <v>44967</v>
      </c>
      <c r="D105" t="s">
        <v>2894</v>
      </c>
      <c r="E105" t="s">
        <v>2895</v>
      </c>
      <c r="F105" t="s">
        <v>15</v>
      </c>
      <c r="G105" t="s">
        <v>334</v>
      </c>
      <c r="H105">
        <v>145</v>
      </c>
      <c r="I105">
        <v>1984</v>
      </c>
      <c r="J105" t="s">
        <v>24</v>
      </c>
      <c r="K105">
        <v>115521</v>
      </c>
      <c r="L105" s="1">
        <v>30821</v>
      </c>
      <c r="M105" s="1" t="s">
        <v>3165</v>
      </c>
      <c r="N105" t="s">
        <v>2519</v>
      </c>
      <c r="O105" t="s">
        <v>3149</v>
      </c>
    </row>
    <row r="106" spans="1:15" x14ac:dyDescent="0.3">
      <c r="A106" t="s">
        <v>2899</v>
      </c>
      <c r="B106">
        <v>7</v>
      </c>
      <c r="C106" s="1">
        <v>44958</v>
      </c>
      <c r="D106" t="s">
        <v>2900</v>
      </c>
      <c r="E106" t="s">
        <v>2901</v>
      </c>
      <c r="F106" t="s">
        <v>15</v>
      </c>
      <c r="G106" t="s">
        <v>56</v>
      </c>
      <c r="H106">
        <v>117</v>
      </c>
      <c r="I106">
        <v>1984</v>
      </c>
      <c r="J106" t="s">
        <v>2902</v>
      </c>
      <c r="K106">
        <v>14166</v>
      </c>
      <c r="L106" s="1">
        <v>30816</v>
      </c>
      <c r="M106" s="1" t="s">
        <v>3166</v>
      </c>
      <c r="N106" t="s">
        <v>2903</v>
      </c>
      <c r="O106" t="s">
        <v>3149</v>
      </c>
    </row>
    <row r="107" spans="1:15" x14ac:dyDescent="0.3">
      <c r="A107" t="s">
        <v>2904</v>
      </c>
      <c r="B107">
        <v>6</v>
      </c>
      <c r="C107" s="1">
        <v>44811</v>
      </c>
      <c r="D107" t="s">
        <v>2905</v>
      </c>
      <c r="E107" t="s">
        <v>2906</v>
      </c>
      <c r="F107" t="s">
        <v>15</v>
      </c>
      <c r="G107" t="s">
        <v>143</v>
      </c>
      <c r="H107">
        <v>82</v>
      </c>
      <c r="I107">
        <v>1984</v>
      </c>
      <c r="J107" t="s">
        <v>1659</v>
      </c>
      <c r="K107">
        <v>145385</v>
      </c>
      <c r="L107" s="1">
        <v>30743</v>
      </c>
      <c r="M107" s="1" t="s">
        <v>3165</v>
      </c>
      <c r="N107" t="s">
        <v>2907</v>
      </c>
      <c r="O107" t="s">
        <v>3149</v>
      </c>
    </row>
    <row r="108" spans="1:15" x14ac:dyDescent="0.3">
      <c r="A108" t="s">
        <v>2916</v>
      </c>
      <c r="B108">
        <v>8</v>
      </c>
      <c r="C108" s="1">
        <v>43571</v>
      </c>
      <c r="D108" t="s">
        <v>2917</v>
      </c>
      <c r="E108" t="s">
        <v>2918</v>
      </c>
      <c r="F108" t="s">
        <v>15</v>
      </c>
      <c r="G108" t="s">
        <v>23</v>
      </c>
      <c r="H108">
        <v>116</v>
      </c>
      <c r="I108">
        <v>1985</v>
      </c>
      <c r="J108" t="s">
        <v>2902</v>
      </c>
      <c r="K108">
        <v>1282546</v>
      </c>
      <c r="L108" s="1">
        <v>31231</v>
      </c>
      <c r="M108" s="1" t="s">
        <v>3165</v>
      </c>
      <c r="N108" t="s">
        <v>2919</v>
      </c>
      <c r="O108" t="s">
        <v>3149</v>
      </c>
    </row>
    <row r="109" spans="1:15" x14ac:dyDescent="0.3">
      <c r="A109" t="s">
        <v>2923</v>
      </c>
      <c r="B109">
        <v>7</v>
      </c>
      <c r="C109" s="1">
        <v>44004</v>
      </c>
      <c r="D109" t="s">
        <v>2924</v>
      </c>
      <c r="E109" t="s">
        <v>2925</v>
      </c>
      <c r="F109" t="s">
        <v>15</v>
      </c>
      <c r="G109" t="s">
        <v>61</v>
      </c>
      <c r="H109">
        <v>97</v>
      </c>
      <c r="I109">
        <v>1985</v>
      </c>
      <c r="J109" t="s">
        <v>261</v>
      </c>
      <c r="K109">
        <v>429165</v>
      </c>
      <c r="L109" s="1">
        <v>31085</v>
      </c>
      <c r="M109" s="1" t="s">
        <v>3165</v>
      </c>
      <c r="N109" t="s">
        <v>2926</v>
      </c>
      <c r="O109" t="s">
        <v>3149</v>
      </c>
    </row>
    <row r="110" spans="1:15" x14ac:dyDescent="0.3">
      <c r="A110" t="s">
        <v>2947</v>
      </c>
      <c r="B110">
        <v>6</v>
      </c>
      <c r="C110" s="1">
        <v>45143</v>
      </c>
      <c r="D110" t="s">
        <v>2948</v>
      </c>
      <c r="E110" t="s">
        <v>2949</v>
      </c>
      <c r="F110" t="s">
        <v>15</v>
      </c>
      <c r="G110" t="s">
        <v>927</v>
      </c>
      <c r="H110">
        <v>137</v>
      </c>
      <c r="I110">
        <v>1986</v>
      </c>
      <c r="J110" t="s">
        <v>755</v>
      </c>
      <c r="K110">
        <v>751873</v>
      </c>
      <c r="L110" s="1">
        <v>31607</v>
      </c>
      <c r="M110" s="1" t="s">
        <v>3165</v>
      </c>
      <c r="N110" t="s">
        <v>2099</v>
      </c>
      <c r="O110" t="s">
        <v>3149</v>
      </c>
    </row>
    <row r="111" spans="1:15" x14ac:dyDescent="0.3">
      <c r="A111" t="s">
        <v>2950</v>
      </c>
      <c r="B111">
        <v>8</v>
      </c>
      <c r="C111" s="1">
        <v>44823</v>
      </c>
      <c r="D111" t="s">
        <v>2951</v>
      </c>
      <c r="E111" t="s">
        <v>2952</v>
      </c>
      <c r="F111" t="s">
        <v>15</v>
      </c>
      <c r="G111" t="s">
        <v>84</v>
      </c>
      <c r="H111">
        <v>120</v>
      </c>
      <c r="I111">
        <v>1986</v>
      </c>
      <c r="J111" t="s">
        <v>409</v>
      </c>
      <c r="K111">
        <v>212032</v>
      </c>
      <c r="L111" s="1">
        <v>31654</v>
      </c>
      <c r="M111" s="1" t="s">
        <v>3165</v>
      </c>
      <c r="N111" t="s">
        <v>452</v>
      </c>
      <c r="O111" t="s">
        <v>3149</v>
      </c>
    </row>
    <row r="112" spans="1:15" x14ac:dyDescent="0.3">
      <c r="A112" t="s">
        <v>2984</v>
      </c>
      <c r="B112">
        <v>7</v>
      </c>
      <c r="C112" s="1">
        <v>43905</v>
      </c>
      <c r="D112" t="s">
        <v>2985</v>
      </c>
      <c r="E112" t="s">
        <v>2986</v>
      </c>
      <c r="F112" t="s">
        <v>15</v>
      </c>
      <c r="G112" t="s">
        <v>334</v>
      </c>
      <c r="H112">
        <v>89</v>
      </c>
      <c r="I112">
        <v>1986</v>
      </c>
      <c r="J112" t="s">
        <v>1959</v>
      </c>
      <c r="K112">
        <v>433270</v>
      </c>
      <c r="L112" s="1">
        <v>31630</v>
      </c>
      <c r="M112" s="1" t="s">
        <v>3165</v>
      </c>
      <c r="N112" t="s">
        <v>2907</v>
      </c>
      <c r="O112" t="s">
        <v>3149</v>
      </c>
    </row>
    <row r="113" spans="1:15" x14ac:dyDescent="0.3">
      <c r="A113" t="s">
        <v>2991</v>
      </c>
      <c r="B113">
        <v>8</v>
      </c>
      <c r="C113" s="1">
        <v>45104</v>
      </c>
      <c r="D113" t="s">
        <v>2992</v>
      </c>
      <c r="E113" t="s">
        <v>2993</v>
      </c>
      <c r="F113" t="s">
        <v>22</v>
      </c>
      <c r="G113" t="s">
        <v>284</v>
      </c>
      <c r="H113">
        <v>572</v>
      </c>
      <c r="I113">
        <v>1989</v>
      </c>
      <c r="J113" t="s">
        <v>24</v>
      </c>
      <c r="K113">
        <v>27421</v>
      </c>
      <c r="L113" s="1">
        <v>32644</v>
      </c>
      <c r="M113" s="1" t="s">
        <v>3166</v>
      </c>
      <c r="N113" t="s">
        <v>86</v>
      </c>
      <c r="O113" t="s">
        <v>3149</v>
      </c>
    </row>
    <row r="114" spans="1:15" x14ac:dyDescent="0.3">
      <c r="A114" t="s">
        <v>3007</v>
      </c>
      <c r="B114">
        <v>6</v>
      </c>
      <c r="C114" s="1">
        <v>44974</v>
      </c>
      <c r="D114" t="s">
        <v>3008</v>
      </c>
      <c r="E114" t="s">
        <v>3009</v>
      </c>
      <c r="F114" t="s">
        <v>15</v>
      </c>
      <c r="G114" t="s">
        <v>143</v>
      </c>
      <c r="H114">
        <v>128</v>
      </c>
      <c r="I114">
        <v>1987</v>
      </c>
      <c r="J114" t="s">
        <v>1028</v>
      </c>
      <c r="K114">
        <v>75563</v>
      </c>
      <c r="L114" s="1">
        <v>31914</v>
      </c>
      <c r="M114" s="1" t="s">
        <v>3180</v>
      </c>
      <c r="N114" t="s">
        <v>2519</v>
      </c>
      <c r="O114" t="s">
        <v>3149</v>
      </c>
    </row>
    <row r="115" spans="1:15" x14ac:dyDescent="0.3">
      <c r="A115" t="s">
        <v>3024</v>
      </c>
      <c r="B115">
        <v>6</v>
      </c>
      <c r="C115" s="1">
        <v>45238</v>
      </c>
      <c r="D115" t="s">
        <v>3025</v>
      </c>
      <c r="E115" t="s">
        <v>3026</v>
      </c>
      <c r="F115" t="s">
        <v>15</v>
      </c>
      <c r="G115" t="s">
        <v>73</v>
      </c>
      <c r="H115">
        <v>118</v>
      </c>
      <c r="I115">
        <v>1987</v>
      </c>
      <c r="J115" t="s">
        <v>3027</v>
      </c>
      <c r="K115">
        <v>76141</v>
      </c>
      <c r="L115" s="1">
        <v>31940</v>
      </c>
      <c r="M115" s="1" t="s">
        <v>3165</v>
      </c>
      <c r="N115" t="s">
        <v>3028</v>
      </c>
      <c r="O115" t="s">
        <v>3149</v>
      </c>
    </row>
    <row r="116" spans="1:15" x14ac:dyDescent="0.3">
      <c r="A116" t="s">
        <v>3034</v>
      </c>
      <c r="B116">
        <v>6</v>
      </c>
      <c r="C116" s="1">
        <v>44006</v>
      </c>
      <c r="D116" t="s">
        <v>3035</v>
      </c>
      <c r="E116" t="s">
        <v>3036</v>
      </c>
      <c r="F116" t="s">
        <v>15</v>
      </c>
      <c r="G116" t="s">
        <v>56</v>
      </c>
      <c r="H116">
        <v>92</v>
      </c>
      <c r="I116">
        <v>1988</v>
      </c>
      <c r="J116" t="s">
        <v>36</v>
      </c>
      <c r="K116">
        <v>331945</v>
      </c>
      <c r="L116" s="1">
        <v>32231</v>
      </c>
      <c r="M116" s="1" t="s">
        <v>3165</v>
      </c>
      <c r="N116" t="s">
        <v>3037</v>
      </c>
      <c r="O116" t="s">
        <v>3149</v>
      </c>
    </row>
    <row r="117" spans="1:15" x14ac:dyDescent="0.3">
      <c r="A117" t="s">
        <v>3050</v>
      </c>
      <c r="B117">
        <v>7</v>
      </c>
      <c r="C117" s="1">
        <v>44968</v>
      </c>
      <c r="D117" t="s">
        <v>3051</v>
      </c>
      <c r="E117" t="s">
        <v>3052</v>
      </c>
      <c r="F117" t="s">
        <v>15</v>
      </c>
      <c r="G117" t="s">
        <v>334</v>
      </c>
      <c r="H117">
        <v>87</v>
      </c>
      <c r="I117">
        <v>1988</v>
      </c>
      <c r="J117" t="s">
        <v>42</v>
      </c>
      <c r="K117">
        <v>25583</v>
      </c>
      <c r="L117" s="1">
        <v>32408</v>
      </c>
      <c r="M117" s="1" t="s">
        <v>3166</v>
      </c>
      <c r="N117" t="s">
        <v>86</v>
      </c>
      <c r="O117" t="s">
        <v>3149</v>
      </c>
    </row>
    <row r="118" spans="1:15" x14ac:dyDescent="0.3">
      <c r="A118" t="s">
        <v>3053</v>
      </c>
      <c r="B118">
        <v>7</v>
      </c>
      <c r="C118" s="1">
        <v>44986</v>
      </c>
      <c r="D118" t="s">
        <v>3054</v>
      </c>
      <c r="E118" t="s">
        <v>3055</v>
      </c>
      <c r="F118" t="s">
        <v>15</v>
      </c>
      <c r="G118" t="s">
        <v>29</v>
      </c>
      <c r="H118">
        <v>84</v>
      </c>
      <c r="I118">
        <v>1988</v>
      </c>
      <c r="J118" t="s">
        <v>325</v>
      </c>
      <c r="K118">
        <v>22006</v>
      </c>
      <c r="L118" s="1">
        <v>32213</v>
      </c>
      <c r="M118" s="1" t="s">
        <v>3166</v>
      </c>
      <c r="N118" t="s">
        <v>86</v>
      </c>
      <c r="O118" t="s">
        <v>3149</v>
      </c>
    </row>
    <row r="119" spans="1:15" x14ac:dyDescent="0.3">
      <c r="A119" t="s">
        <v>3060</v>
      </c>
      <c r="B119">
        <v>7</v>
      </c>
      <c r="C119" s="1">
        <v>45121</v>
      </c>
      <c r="D119" t="s">
        <v>3061</v>
      </c>
      <c r="E119" t="s">
        <v>3062</v>
      </c>
      <c r="F119" t="s">
        <v>15</v>
      </c>
      <c r="G119" t="s">
        <v>56</v>
      </c>
      <c r="H119">
        <v>88</v>
      </c>
      <c r="I119">
        <v>1988</v>
      </c>
      <c r="J119" t="s">
        <v>261</v>
      </c>
      <c r="K119">
        <v>45550</v>
      </c>
      <c r="L119" s="1">
        <v>32216</v>
      </c>
      <c r="M119" s="1" t="s">
        <v>3159</v>
      </c>
      <c r="N119" t="s">
        <v>457</v>
      </c>
      <c r="O119" t="s">
        <v>3149</v>
      </c>
    </row>
    <row r="120" spans="1:15" x14ac:dyDescent="0.3">
      <c r="A120" t="s">
        <v>3063</v>
      </c>
      <c r="B120">
        <v>6</v>
      </c>
      <c r="C120" s="1">
        <v>44257</v>
      </c>
      <c r="D120" t="s">
        <v>3064</v>
      </c>
      <c r="E120" t="s">
        <v>3065</v>
      </c>
      <c r="F120" t="s">
        <v>15</v>
      </c>
      <c r="G120" t="s">
        <v>41</v>
      </c>
      <c r="H120">
        <v>85</v>
      </c>
      <c r="I120">
        <v>1988</v>
      </c>
      <c r="J120" t="s">
        <v>503</v>
      </c>
      <c r="K120">
        <v>181336</v>
      </c>
      <c r="L120" s="1">
        <v>32479</v>
      </c>
      <c r="M120" s="1" t="s">
        <v>3165</v>
      </c>
      <c r="N120" t="s">
        <v>3066</v>
      </c>
      <c r="O120" t="s">
        <v>3149</v>
      </c>
    </row>
    <row r="121" spans="1:15" x14ac:dyDescent="0.3">
      <c r="A121" t="s">
        <v>3081</v>
      </c>
      <c r="B121">
        <v>6</v>
      </c>
      <c r="C121" s="1">
        <v>45186</v>
      </c>
      <c r="D121" t="s">
        <v>3082</v>
      </c>
      <c r="E121" t="s">
        <v>3083</v>
      </c>
      <c r="F121" t="s">
        <v>15</v>
      </c>
      <c r="G121" t="s">
        <v>84</v>
      </c>
      <c r="H121">
        <v>104</v>
      </c>
      <c r="I121">
        <v>1988</v>
      </c>
      <c r="J121" t="s">
        <v>3084</v>
      </c>
      <c r="K121">
        <v>213754</v>
      </c>
      <c r="L121" s="1">
        <v>32315</v>
      </c>
      <c r="M121" s="1" t="s">
        <v>3165</v>
      </c>
      <c r="N121" t="s">
        <v>2919</v>
      </c>
      <c r="O121" t="s">
        <v>3149</v>
      </c>
    </row>
    <row r="122" spans="1:15" x14ac:dyDescent="0.3">
      <c r="A122" t="s">
        <v>3085</v>
      </c>
      <c r="B122">
        <v>8</v>
      </c>
      <c r="C122" s="1">
        <v>44827</v>
      </c>
      <c r="D122" t="s">
        <v>3086</v>
      </c>
      <c r="E122" t="s">
        <v>3087</v>
      </c>
      <c r="F122" t="s">
        <v>15</v>
      </c>
      <c r="G122" t="s">
        <v>198</v>
      </c>
      <c r="H122">
        <v>102</v>
      </c>
      <c r="I122">
        <v>1989</v>
      </c>
      <c r="J122" t="s">
        <v>360</v>
      </c>
      <c r="K122">
        <v>1963</v>
      </c>
      <c r="L122" s="1">
        <v>32766</v>
      </c>
      <c r="M122" s="1" t="s">
        <v>3192</v>
      </c>
      <c r="N122" t="s">
        <v>2240</v>
      </c>
      <c r="O122" t="s">
        <v>3175</v>
      </c>
    </row>
    <row r="123" spans="1:15" x14ac:dyDescent="0.3">
      <c r="A123" t="s">
        <v>3088</v>
      </c>
      <c r="B123">
        <v>7</v>
      </c>
      <c r="C123" s="1">
        <v>44335</v>
      </c>
      <c r="D123" t="s">
        <v>3089</v>
      </c>
      <c r="E123" t="s">
        <v>3090</v>
      </c>
      <c r="F123" t="s">
        <v>15</v>
      </c>
      <c r="G123" t="s">
        <v>61</v>
      </c>
      <c r="H123">
        <v>108</v>
      </c>
      <c r="I123">
        <v>1989</v>
      </c>
      <c r="J123" t="s">
        <v>2902</v>
      </c>
      <c r="K123">
        <v>564115</v>
      </c>
      <c r="L123" s="1">
        <v>32832</v>
      </c>
      <c r="M123" s="1" t="s">
        <v>3165</v>
      </c>
      <c r="N123" t="s">
        <v>2919</v>
      </c>
      <c r="O123" t="s">
        <v>3149</v>
      </c>
    </row>
    <row r="124" spans="1:15" x14ac:dyDescent="0.3">
      <c r="A124" t="s">
        <v>3099</v>
      </c>
      <c r="B124">
        <v>6</v>
      </c>
      <c r="C124" s="1">
        <v>44639</v>
      </c>
      <c r="D124" t="s">
        <v>3100</v>
      </c>
      <c r="E124" t="s">
        <v>3101</v>
      </c>
      <c r="F124" t="s">
        <v>15</v>
      </c>
      <c r="G124" t="s">
        <v>334</v>
      </c>
      <c r="H124">
        <v>128</v>
      </c>
      <c r="I124">
        <v>1989</v>
      </c>
      <c r="J124" t="s">
        <v>261</v>
      </c>
      <c r="K124">
        <v>531981</v>
      </c>
      <c r="L124" s="1">
        <v>32661</v>
      </c>
      <c r="M124" s="1" t="s">
        <v>3165</v>
      </c>
      <c r="N124" t="s">
        <v>533</v>
      </c>
      <c r="O124" t="s">
        <v>3149</v>
      </c>
    </row>
    <row r="125" spans="1:15" x14ac:dyDescent="0.3">
      <c r="A125" t="s">
        <v>3113</v>
      </c>
      <c r="B125">
        <v>5</v>
      </c>
      <c r="C125" s="1">
        <v>44010</v>
      </c>
      <c r="D125" t="s">
        <v>3114</v>
      </c>
      <c r="E125" t="s">
        <v>3115</v>
      </c>
      <c r="F125" t="s">
        <v>15</v>
      </c>
      <c r="G125" t="s">
        <v>16</v>
      </c>
      <c r="H125">
        <v>100</v>
      </c>
      <c r="I125">
        <v>1989</v>
      </c>
      <c r="J125" t="s">
        <v>17</v>
      </c>
      <c r="K125">
        <v>94899</v>
      </c>
      <c r="L125" s="1">
        <v>32612</v>
      </c>
      <c r="M125" s="1" t="s">
        <v>3165</v>
      </c>
      <c r="N125" t="s">
        <v>3116</v>
      </c>
      <c r="O125" t="s">
        <v>3149</v>
      </c>
    </row>
    <row r="126" spans="1:15" x14ac:dyDescent="0.3">
      <c r="A126" t="s">
        <v>3120</v>
      </c>
      <c r="B126">
        <v>6</v>
      </c>
      <c r="C126" s="1">
        <v>45218</v>
      </c>
      <c r="D126" t="s">
        <v>3121</v>
      </c>
      <c r="E126" t="s">
        <v>3122</v>
      </c>
      <c r="F126" t="s">
        <v>15</v>
      </c>
      <c r="G126" t="s">
        <v>41</v>
      </c>
      <c r="H126">
        <v>108</v>
      </c>
      <c r="I126">
        <v>1989</v>
      </c>
      <c r="J126" t="s">
        <v>24</v>
      </c>
      <c r="K126">
        <v>16630</v>
      </c>
      <c r="L126" s="1">
        <v>32647</v>
      </c>
      <c r="M126" s="1" t="s">
        <v>3180</v>
      </c>
      <c r="N126" t="s">
        <v>1454</v>
      </c>
      <c r="O126" t="s">
        <v>3149</v>
      </c>
    </row>
    <row r="127" spans="1:15" x14ac:dyDescent="0.3">
      <c r="A127" t="s">
        <v>3123</v>
      </c>
      <c r="B127">
        <v>7</v>
      </c>
      <c r="C127" s="1">
        <v>45270</v>
      </c>
      <c r="D127" t="s">
        <v>3124</v>
      </c>
      <c r="E127" t="s">
        <v>3125</v>
      </c>
      <c r="F127" t="s">
        <v>15</v>
      </c>
      <c r="G127" t="s">
        <v>56</v>
      </c>
      <c r="H127">
        <v>69</v>
      </c>
      <c r="I127">
        <v>1990</v>
      </c>
      <c r="J127" t="s">
        <v>1822</v>
      </c>
      <c r="K127">
        <v>10941</v>
      </c>
      <c r="L127" s="1">
        <v>32885</v>
      </c>
      <c r="M127" s="1" t="s">
        <v>3161</v>
      </c>
      <c r="N127" t="s">
        <v>3126</v>
      </c>
      <c r="O127" t="s">
        <v>3149</v>
      </c>
    </row>
    <row r="128" spans="1:15" x14ac:dyDescent="0.3">
      <c r="A128" t="s">
        <v>3127</v>
      </c>
      <c r="B128">
        <v>4</v>
      </c>
      <c r="C128" s="1">
        <v>44649</v>
      </c>
      <c r="D128" t="s">
        <v>3128</v>
      </c>
      <c r="E128" t="s">
        <v>3129</v>
      </c>
      <c r="F128" t="s">
        <v>15</v>
      </c>
      <c r="G128" t="s">
        <v>105</v>
      </c>
      <c r="H128">
        <v>103</v>
      </c>
      <c r="I128">
        <v>1988</v>
      </c>
      <c r="J128" t="s">
        <v>3130</v>
      </c>
      <c r="K128">
        <v>20231</v>
      </c>
      <c r="L128" s="1">
        <v>32294</v>
      </c>
      <c r="M128" s="1" t="s">
        <v>3165</v>
      </c>
      <c r="N128" t="s">
        <v>3131</v>
      </c>
      <c r="O128" t="s">
        <v>3149</v>
      </c>
    </row>
    <row r="129" spans="1:15" x14ac:dyDescent="0.3">
      <c r="A129" t="s">
        <v>3132</v>
      </c>
      <c r="B129">
        <v>7</v>
      </c>
      <c r="C129" s="1">
        <v>43949</v>
      </c>
      <c r="D129" t="s">
        <v>3133</v>
      </c>
      <c r="E129" t="s">
        <v>3134</v>
      </c>
      <c r="F129" t="s">
        <v>15</v>
      </c>
      <c r="G129" t="s">
        <v>84</v>
      </c>
      <c r="H129">
        <v>95</v>
      </c>
      <c r="I129">
        <v>1989</v>
      </c>
      <c r="J129" t="s">
        <v>17</v>
      </c>
      <c r="K129">
        <v>237369</v>
      </c>
      <c r="L129" s="1">
        <v>32701</v>
      </c>
      <c r="M129" s="1" t="s">
        <v>3165</v>
      </c>
      <c r="N129" t="s">
        <v>2907</v>
      </c>
      <c r="O129" t="s">
        <v>3149</v>
      </c>
    </row>
    <row r="130" spans="1:15" x14ac:dyDescent="0.3">
      <c r="A130" t="s">
        <v>3141</v>
      </c>
      <c r="B130">
        <v>7</v>
      </c>
      <c r="C130" s="1">
        <v>44331</v>
      </c>
      <c r="D130" t="s">
        <v>3142</v>
      </c>
      <c r="E130" t="s">
        <v>3143</v>
      </c>
      <c r="F130" t="s">
        <v>15</v>
      </c>
      <c r="G130" t="s">
        <v>1409</v>
      </c>
      <c r="H130">
        <v>145</v>
      </c>
      <c r="I130">
        <v>1990</v>
      </c>
      <c r="J130" t="s">
        <v>672</v>
      </c>
      <c r="K130">
        <v>1233799</v>
      </c>
      <c r="L130" s="1">
        <v>33125</v>
      </c>
      <c r="M130" s="1" t="s">
        <v>3165</v>
      </c>
      <c r="N130" t="s">
        <v>371</v>
      </c>
      <c r="O130" t="s">
        <v>3149</v>
      </c>
    </row>
    <row r="131" spans="1:15" x14ac:dyDescent="0.3">
      <c r="A131" t="s">
        <v>12</v>
      </c>
      <c r="B131">
        <v>7</v>
      </c>
      <c r="C131" s="1">
        <v>45291</v>
      </c>
      <c r="D131" t="s">
        <v>13</v>
      </c>
      <c r="E131" t="s">
        <v>14</v>
      </c>
      <c r="F131" t="s">
        <v>15</v>
      </c>
      <c r="G131" t="s">
        <v>16</v>
      </c>
      <c r="H131">
        <v>98</v>
      </c>
      <c r="I131">
        <v>1990</v>
      </c>
      <c r="J131" t="s">
        <v>17</v>
      </c>
      <c r="K131">
        <v>12216</v>
      </c>
      <c r="L131" s="1">
        <v>32893</v>
      </c>
      <c r="M131" s="1" t="s">
        <v>3165</v>
      </c>
      <c r="N131" t="s">
        <v>18</v>
      </c>
      <c r="O131" t="s">
        <v>3149</v>
      </c>
    </row>
    <row r="132" spans="1:15" x14ac:dyDescent="0.3">
      <c r="A132" t="s">
        <v>32</v>
      </c>
      <c r="B132">
        <v>7</v>
      </c>
      <c r="C132" s="1">
        <v>44837</v>
      </c>
      <c r="D132" t="s">
        <v>33</v>
      </c>
      <c r="E132" t="s">
        <v>34</v>
      </c>
      <c r="F132" t="s">
        <v>15</v>
      </c>
      <c r="G132" t="s">
        <v>35</v>
      </c>
      <c r="H132">
        <v>99</v>
      </c>
      <c r="I132">
        <v>1991</v>
      </c>
      <c r="J132" t="s">
        <v>36</v>
      </c>
      <c r="K132">
        <v>177304</v>
      </c>
      <c r="L132" s="1">
        <v>33561</v>
      </c>
      <c r="M132" s="1" t="s">
        <v>3165</v>
      </c>
      <c r="N132" t="s">
        <v>37</v>
      </c>
      <c r="O132" t="s">
        <v>3149</v>
      </c>
    </row>
    <row r="133" spans="1:15" x14ac:dyDescent="0.3">
      <c r="A133" t="s">
        <v>38</v>
      </c>
      <c r="B133">
        <v>7</v>
      </c>
      <c r="C133" s="1">
        <v>45265</v>
      </c>
      <c r="D133" t="s">
        <v>39</v>
      </c>
      <c r="E133" t="s">
        <v>40</v>
      </c>
      <c r="F133" t="s">
        <v>15</v>
      </c>
      <c r="G133" t="s">
        <v>41</v>
      </c>
      <c r="H133">
        <v>125</v>
      </c>
      <c r="I133">
        <v>1991</v>
      </c>
      <c r="J133" t="s">
        <v>42</v>
      </c>
      <c r="K133">
        <v>15049</v>
      </c>
      <c r="L133" s="1">
        <v>33527</v>
      </c>
      <c r="M133" s="1" t="s">
        <v>3155</v>
      </c>
      <c r="N133" t="s">
        <v>43</v>
      </c>
      <c r="O133" t="s">
        <v>3149</v>
      </c>
    </row>
    <row r="134" spans="1:15" x14ac:dyDescent="0.3">
      <c r="A134" t="s">
        <v>53</v>
      </c>
      <c r="B134">
        <v>5</v>
      </c>
      <c r="C134" s="1">
        <v>45198</v>
      </c>
      <c r="D134" t="s">
        <v>54</v>
      </c>
      <c r="E134" t="s">
        <v>55</v>
      </c>
      <c r="F134" t="s">
        <v>15</v>
      </c>
      <c r="G134" t="s">
        <v>56</v>
      </c>
      <c r="H134">
        <v>238</v>
      </c>
      <c r="I134">
        <v>1991</v>
      </c>
      <c r="J134" t="s">
        <v>24</v>
      </c>
      <c r="K134">
        <v>9185</v>
      </c>
      <c r="L134" s="1">
        <v>33372</v>
      </c>
      <c r="M134" s="1" t="s">
        <v>3155</v>
      </c>
      <c r="N134" t="s">
        <v>57</v>
      </c>
      <c r="O134" t="s">
        <v>3149</v>
      </c>
    </row>
    <row r="135" spans="1:15" x14ac:dyDescent="0.3">
      <c r="A135" t="s">
        <v>76</v>
      </c>
      <c r="B135">
        <v>7</v>
      </c>
      <c r="C135" s="1">
        <v>44907</v>
      </c>
      <c r="D135" t="s">
        <v>77</v>
      </c>
      <c r="E135" t="s">
        <v>78</v>
      </c>
      <c r="F135" t="s">
        <v>15</v>
      </c>
      <c r="G135" t="s">
        <v>79</v>
      </c>
      <c r="H135">
        <v>140</v>
      </c>
      <c r="I135">
        <v>1991</v>
      </c>
      <c r="J135" t="s">
        <v>74</v>
      </c>
      <c r="K135">
        <v>97839</v>
      </c>
      <c r="L135" s="1">
        <v>33292</v>
      </c>
      <c r="M135" s="1" t="s">
        <v>3165</v>
      </c>
      <c r="N135" t="s">
        <v>80</v>
      </c>
      <c r="O135" t="s">
        <v>3149</v>
      </c>
    </row>
    <row r="136" spans="1:15" x14ac:dyDescent="0.3">
      <c r="A136" t="s">
        <v>81</v>
      </c>
      <c r="B136">
        <v>6</v>
      </c>
      <c r="C136" s="1">
        <v>44586</v>
      </c>
      <c r="D136" t="s">
        <v>82</v>
      </c>
      <c r="E136" t="s">
        <v>83</v>
      </c>
      <c r="F136" t="s">
        <v>15</v>
      </c>
      <c r="G136" t="s">
        <v>84</v>
      </c>
      <c r="H136">
        <v>98</v>
      </c>
      <c r="I136">
        <v>1991</v>
      </c>
      <c r="J136" t="s">
        <v>85</v>
      </c>
      <c r="K136">
        <v>52160</v>
      </c>
      <c r="L136" s="1">
        <v>33373</v>
      </c>
      <c r="M136" s="1" t="s">
        <v>3155</v>
      </c>
      <c r="N136" t="s">
        <v>86</v>
      </c>
      <c r="O136" t="s">
        <v>3149</v>
      </c>
    </row>
    <row r="137" spans="1:15" x14ac:dyDescent="0.3">
      <c r="A137" t="s">
        <v>119</v>
      </c>
      <c r="B137">
        <v>8</v>
      </c>
      <c r="C137" s="1">
        <v>44333</v>
      </c>
      <c r="D137" t="s">
        <v>120</v>
      </c>
      <c r="E137" t="s">
        <v>121</v>
      </c>
      <c r="F137" t="s">
        <v>15</v>
      </c>
      <c r="G137" t="s">
        <v>122</v>
      </c>
      <c r="H137">
        <v>118</v>
      </c>
      <c r="I137">
        <v>1991</v>
      </c>
      <c r="J137" t="s">
        <v>123</v>
      </c>
      <c r="K137">
        <v>1518333</v>
      </c>
      <c r="L137" s="1">
        <v>33268</v>
      </c>
      <c r="M137" s="1" t="s">
        <v>3165</v>
      </c>
      <c r="N137" t="s">
        <v>124</v>
      </c>
      <c r="O137" t="s">
        <v>3149</v>
      </c>
    </row>
    <row r="138" spans="1:15" x14ac:dyDescent="0.3">
      <c r="A138" t="s">
        <v>135</v>
      </c>
      <c r="B138">
        <v>8</v>
      </c>
      <c r="C138" s="1">
        <v>45125</v>
      </c>
      <c r="D138" t="s">
        <v>136</v>
      </c>
      <c r="E138" t="s">
        <v>137</v>
      </c>
      <c r="F138" t="s">
        <v>15</v>
      </c>
      <c r="G138" t="s">
        <v>41</v>
      </c>
      <c r="H138">
        <v>130</v>
      </c>
      <c r="I138">
        <v>1991</v>
      </c>
      <c r="J138" t="s">
        <v>138</v>
      </c>
      <c r="K138">
        <v>168435</v>
      </c>
      <c r="L138" s="1">
        <v>33378</v>
      </c>
      <c r="M138" s="1" t="s">
        <v>3165</v>
      </c>
      <c r="N138" t="s">
        <v>139</v>
      </c>
      <c r="O138" t="s">
        <v>3149</v>
      </c>
    </row>
    <row r="139" spans="1:15" x14ac:dyDescent="0.3">
      <c r="A139" t="s">
        <v>175</v>
      </c>
      <c r="B139">
        <v>8</v>
      </c>
      <c r="C139" s="1">
        <v>44551</v>
      </c>
      <c r="D139" t="s">
        <v>176</v>
      </c>
      <c r="E139" t="s">
        <v>177</v>
      </c>
      <c r="F139" t="s">
        <v>15</v>
      </c>
      <c r="G139" t="s">
        <v>95</v>
      </c>
      <c r="H139">
        <v>127</v>
      </c>
      <c r="I139">
        <v>1992</v>
      </c>
      <c r="J139" t="s">
        <v>178</v>
      </c>
      <c r="K139">
        <v>214968</v>
      </c>
      <c r="L139" s="1">
        <v>33681</v>
      </c>
      <c r="M139" s="1" t="s">
        <v>3165</v>
      </c>
      <c r="N139" t="s">
        <v>179</v>
      </c>
      <c r="O139" t="s">
        <v>3149</v>
      </c>
    </row>
    <row r="140" spans="1:15" x14ac:dyDescent="0.3">
      <c r="A140" t="s">
        <v>184</v>
      </c>
      <c r="B140">
        <v>7</v>
      </c>
      <c r="C140" s="1">
        <v>43847</v>
      </c>
      <c r="D140" t="s">
        <v>185</v>
      </c>
      <c r="E140" t="s">
        <v>186</v>
      </c>
      <c r="F140" t="s">
        <v>15</v>
      </c>
      <c r="G140" t="s">
        <v>187</v>
      </c>
      <c r="H140">
        <v>99</v>
      </c>
      <c r="I140">
        <v>1992</v>
      </c>
      <c r="J140" t="s">
        <v>188</v>
      </c>
      <c r="K140">
        <v>1071707</v>
      </c>
      <c r="L140" s="1">
        <v>33624</v>
      </c>
      <c r="M140" s="1" t="s">
        <v>3165</v>
      </c>
      <c r="N140" t="s">
        <v>189</v>
      </c>
      <c r="O140" t="s">
        <v>3149</v>
      </c>
    </row>
    <row r="141" spans="1:15" x14ac:dyDescent="0.3">
      <c r="A141" t="s">
        <v>206</v>
      </c>
      <c r="B141">
        <v>7</v>
      </c>
      <c r="C141" s="1">
        <v>44838</v>
      </c>
      <c r="D141" t="s">
        <v>207</v>
      </c>
      <c r="E141" t="s">
        <v>208</v>
      </c>
      <c r="F141" t="s">
        <v>15</v>
      </c>
      <c r="G141" t="s">
        <v>67</v>
      </c>
      <c r="H141">
        <v>94</v>
      </c>
      <c r="I141">
        <v>1993</v>
      </c>
      <c r="J141" t="s">
        <v>36</v>
      </c>
      <c r="K141">
        <v>107823</v>
      </c>
      <c r="L141" s="1">
        <v>34292</v>
      </c>
      <c r="M141" s="1" t="s">
        <v>3165</v>
      </c>
      <c r="N141" t="s">
        <v>37</v>
      </c>
      <c r="O141" t="s">
        <v>3149</v>
      </c>
    </row>
    <row r="142" spans="1:15" x14ac:dyDescent="0.3">
      <c r="A142" t="s">
        <v>250</v>
      </c>
      <c r="B142">
        <v>5</v>
      </c>
      <c r="C142" s="1">
        <v>44883</v>
      </c>
      <c r="D142" t="s">
        <v>251</v>
      </c>
      <c r="E142" t="s">
        <v>252</v>
      </c>
      <c r="F142" t="s">
        <v>15</v>
      </c>
      <c r="G142" t="s">
        <v>158</v>
      </c>
      <c r="H142">
        <v>101</v>
      </c>
      <c r="I142">
        <v>1993</v>
      </c>
      <c r="J142" t="s">
        <v>42</v>
      </c>
      <c r="K142">
        <v>10787</v>
      </c>
      <c r="L142" s="1">
        <v>34221</v>
      </c>
      <c r="M142" s="1" t="s">
        <v>3165</v>
      </c>
      <c r="N142" t="s">
        <v>253</v>
      </c>
      <c r="O142" t="s">
        <v>3149</v>
      </c>
    </row>
    <row r="143" spans="1:15" x14ac:dyDescent="0.3">
      <c r="A143" t="s">
        <v>258</v>
      </c>
      <c r="B143">
        <v>5</v>
      </c>
      <c r="C143" s="1">
        <v>45162</v>
      </c>
      <c r="D143" t="s">
        <v>259</v>
      </c>
      <c r="E143" t="s">
        <v>260</v>
      </c>
      <c r="F143" t="s">
        <v>15</v>
      </c>
      <c r="G143" t="s">
        <v>84</v>
      </c>
      <c r="H143">
        <v>131</v>
      </c>
      <c r="I143">
        <v>1993</v>
      </c>
      <c r="J143" t="s">
        <v>261</v>
      </c>
      <c r="K143">
        <v>43014</v>
      </c>
      <c r="L143" s="1">
        <v>34103</v>
      </c>
      <c r="M143" s="1" t="s">
        <v>3171</v>
      </c>
      <c r="N143" t="s">
        <v>262</v>
      </c>
      <c r="O143" t="s">
        <v>3149</v>
      </c>
    </row>
    <row r="144" spans="1:15" x14ac:dyDescent="0.3">
      <c r="A144" t="s">
        <v>263</v>
      </c>
      <c r="B144">
        <v>6</v>
      </c>
      <c r="C144" s="1">
        <v>44908</v>
      </c>
      <c r="D144" t="s">
        <v>264</v>
      </c>
      <c r="E144" t="s">
        <v>265</v>
      </c>
      <c r="F144" t="s">
        <v>15</v>
      </c>
      <c r="G144" t="s">
        <v>143</v>
      </c>
      <c r="H144">
        <v>76</v>
      </c>
      <c r="I144">
        <v>1993</v>
      </c>
      <c r="J144" t="s">
        <v>266</v>
      </c>
      <c r="K144">
        <v>370494</v>
      </c>
      <c r="L144" s="1">
        <v>34251</v>
      </c>
      <c r="M144" s="1" t="s">
        <v>3165</v>
      </c>
      <c r="N144" t="s">
        <v>267</v>
      </c>
      <c r="O144" t="s">
        <v>3149</v>
      </c>
    </row>
    <row r="145" spans="1:15" x14ac:dyDescent="0.3">
      <c r="A145" t="s">
        <v>268</v>
      </c>
      <c r="B145">
        <v>9</v>
      </c>
      <c r="C145" s="1">
        <v>44396</v>
      </c>
      <c r="D145" t="s">
        <v>269</v>
      </c>
      <c r="E145" t="s">
        <v>270</v>
      </c>
      <c r="F145" t="s">
        <v>15</v>
      </c>
      <c r="G145" t="s">
        <v>271</v>
      </c>
      <c r="H145">
        <v>195</v>
      </c>
      <c r="I145">
        <v>1993</v>
      </c>
      <c r="J145" t="s">
        <v>230</v>
      </c>
      <c r="K145">
        <v>1425674</v>
      </c>
      <c r="L145" s="1">
        <v>34303</v>
      </c>
      <c r="M145" s="1" t="s">
        <v>3165</v>
      </c>
      <c r="N145" t="s">
        <v>272</v>
      </c>
      <c r="O145" t="s">
        <v>3149</v>
      </c>
    </row>
    <row r="146" spans="1:15" x14ac:dyDescent="0.3">
      <c r="A146" t="s">
        <v>273</v>
      </c>
      <c r="B146">
        <v>7</v>
      </c>
      <c r="C146" s="1">
        <v>44951</v>
      </c>
      <c r="D146" t="s">
        <v>274</v>
      </c>
      <c r="E146" t="s">
        <v>275</v>
      </c>
      <c r="F146" t="s">
        <v>15</v>
      </c>
      <c r="G146" t="s">
        <v>143</v>
      </c>
      <c r="H146">
        <v>94</v>
      </c>
      <c r="I146">
        <v>1993</v>
      </c>
      <c r="J146" t="s">
        <v>276</v>
      </c>
      <c r="K146">
        <v>108895</v>
      </c>
      <c r="L146" s="1">
        <v>34215</v>
      </c>
      <c r="M146" s="1" t="s">
        <v>3155</v>
      </c>
      <c r="N146" t="s">
        <v>86</v>
      </c>
      <c r="O146" t="s">
        <v>3149</v>
      </c>
    </row>
    <row r="147" spans="1:15" x14ac:dyDescent="0.3">
      <c r="A147" t="s">
        <v>277</v>
      </c>
      <c r="B147">
        <v>7</v>
      </c>
      <c r="C147" s="1">
        <v>45221</v>
      </c>
      <c r="D147" t="s">
        <v>278</v>
      </c>
      <c r="E147" t="s">
        <v>279</v>
      </c>
      <c r="F147" t="s">
        <v>15</v>
      </c>
      <c r="G147" t="s">
        <v>143</v>
      </c>
      <c r="H147">
        <v>119</v>
      </c>
      <c r="I147">
        <v>1993</v>
      </c>
      <c r="J147" t="s">
        <v>280</v>
      </c>
      <c r="K147">
        <v>239122</v>
      </c>
      <c r="L147" s="1">
        <v>34220</v>
      </c>
      <c r="M147" s="1" t="s">
        <v>3165</v>
      </c>
      <c r="N147" t="s">
        <v>281</v>
      </c>
      <c r="O147" t="s">
        <v>3149</v>
      </c>
    </row>
    <row r="148" spans="1:15" x14ac:dyDescent="0.3">
      <c r="A148" t="s">
        <v>289</v>
      </c>
      <c r="B148">
        <v>7</v>
      </c>
      <c r="C148" s="1">
        <v>44791</v>
      </c>
      <c r="D148" t="s">
        <v>290</v>
      </c>
      <c r="E148" t="s">
        <v>291</v>
      </c>
      <c r="F148" t="s">
        <v>15</v>
      </c>
      <c r="G148" t="s">
        <v>29</v>
      </c>
      <c r="H148">
        <v>102</v>
      </c>
      <c r="I148">
        <v>1994</v>
      </c>
      <c r="J148" t="s">
        <v>292</v>
      </c>
      <c r="K148">
        <v>92907</v>
      </c>
      <c r="L148" s="1">
        <v>34529</v>
      </c>
      <c r="M148" s="1" t="s">
        <v>3207</v>
      </c>
      <c r="N148" t="s">
        <v>293</v>
      </c>
      <c r="O148" t="s">
        <v>3149</v>
      </c>
    </row>
    <row r="149" spans="1:15" x14ac:dyDescent="0.3">
      <c r="A149" t="s">
        <v>308</v>
      </c>
      <c r="B149">
        <v>7</v>
      </c>
      <c r="C149" s="1">
        <v>44331</v>
      </c>
      <c r="D149" t="s">
        <v>309</v>
      </c>
      <c r="E149" t="s">
        <v>310</v>
      </c>
      <c r="F149" t="s">
        <v>15</v>
      </c>
      <c r="G149" t="s">
        <v>23</v>
      </c>
      <c r="H149">
        <v>110</v>
      </c>
      <c r="I149">
        <v>1994</v>
      </c>
      <c r="J149" t="s">
        <v>311</v>
      </c>
      <c r="K149">
        <v>1224680</v>
      </c>
      <c r="L149" s="1">
        <v>34591</v>
      </c>
      <c r="M149" s="1" t="s">
        <v>3155</v>
      </c>
      <c r="N149" t="s">
        <v>312</v>
      </c>
      <c r="O149" t="s">
        <v>3149</v>
      </c>
    </row>
    <row r="150" spans="1:15" x14ac:dyDescent="0.3">
      <c r="A150" t="s">
        <v>313</v>
      </c>
      <c r="B150">
        <v>7</v>
      </c>
      <c r="C150" s="1">
        <v>43589</v>
      </c>
      <c r="D150" t="s">
        <v>314</v>
      </c>
      <c r="E150" t="s">
        <v>315</v>
      </c>
      <c r="F150" t="s">
        <v>15</v>
      </c>
      <c r="G150" t="s">
        <v>35</v>
      </c>
      <c r="H150">
        <v>101</v>
      </c>
      <c r="I150">
        <v>1994</v>
      </c>
      <c r="J150" t="s">
        <v>316</v>
      </c>
      <c r="K150">
        <v>412423</v>
      </c>
      <c r="L150" s="1">
        <v>34543</v>
      </c>
      <c r="M150" s="1" t="s">
        <v>3165</v>
      </c>
      <c r="N150" t="s">
        <v>317</v>
      </c>
      <c r="O150" t="s">
        <v>3149</v>
      </c>
    </row>
    <row r="151" spans="1:15" x14ac:dyDescent="0.3">
      <c r="A151" t="s">
        <v>322</v>
      </c>
      <c r="B151">
        <v>8</v>
      </c>
      <c r="C151" s="1">
        <v>43829</v>
      </c>
      <c r="D151" t="s">
        <v>323</v>
      </c>
      <c r="E151" t="s">
        <v>324</v>
      </c>
      <c r="F151" t="s">
        <v>15</v>
      </c>
      <c r="G151" t="s">
        <v>284</v>
      </c>
      <c r="H151">
        <v>154</v>
      </c>
      <c r="I151">
        <v>1994</v>
      </c>
      <c r="J151" t="s">
        <v>325</v>
      </c>
      <c r="K151">
        <v>2176704</v>
      </c>
      <c r="L151" s="1">
        <v>34475</v>
      </c>
      <c r="M151" s="1" t="s">
        <v>3165</v>
      </c>
      <c r="N151" t="s">
        <v>189</v>
      </c>
      <c r="O151" t="s">
        <v>3149</v>
      </c>
    </row>
    <row r="152" spans="1:15" x14ac:dyDescent="0.3">
      <c r="A152" t="s">
        <v>326</v>
      </c>
      <c r="B152">
        <v>9</v>
      </c>
      <c r="C152" s="1">
        <v>44313</v>
      </c>
      <c r="D152" t="s">
        <v>327</v>
      </c>
      <c r="E152" t="s">
        <v>328</v>
      </c>
      <c r="F152" t="s">
        <v>15</v>
      </c>
      <c r="G152" t="s">
        <v>329</v>
      </c>
      <c r="H152">
        <v>142</v>
      </c>
      <c r="I152">
        <v>1994</v>
      </c>
      <c r="J152" t="s">
        <v>24</v>
      </c>
      <c r="K152">
        <v>2837231</v>
      </c>
      <c r="L152" s="1">
        <v>34587</v>
      </c>
      <c r="M152" s="1" t="s">
        <v>3165</v>
      </c>
      <c r="N152" t="s">
        <v>330</v>
      </c>
      <c r="O152" t="s">
        <v>3149</v>
      </c>
    </row>
    <row r="153" spans="1:15" x14ac:dyDescent="0.3">
      <c r="A153" t="s">
        <v>331</v>
      </c>
      <c r="B153">
        <v>6</v>
      </c>
      <c r="C153" s="1">
        <v>44956</v>
      </c>
      <c r="D153" t="s">
        <v>332</v>
      </c>
      <c r="E153" t="s">
        <v>333</v>
      </c>
      <c r="F153" t="s">
        <v>15</v>
      </c>
      <c r="G153" t="s">
        <v>334</v>
      </c>
      <c r="H153">
        <v>99</v>
      </c>
      <c r="I153">
        <v>1994</v>
      </c>
      <c r="J153" t="s">
        <v>335</v>
      </c>
      <c r="K153">
        <v>108635</v>
      </c>
      <c r="L153" s="1">
        <v>34470</v>
      </c>
      <c r="M153" s="1" t="s">
        <v>3155</v>
      </c>
      <c r="N153" t="s">
        <v>86</v>
      </c>
      <c r="O153" t="s">
        <v>3149</v>
      </c>
    </row>
    <row r="154" spans="1:15" x14ac:dyDescent="0.3">
      <c r="A154" t="s">
        <v>336</v>
      </c>
      <c r="B154">
        <v>7</v>
      </c>
      <c r="C154" s="1">
        <v>44956</v>
      </c>
      <c r="D154" t="s">
        <v>337</v>
      </c>
      <c r="E154" t="s">
        <v>338</v>
      </c>
      <c r="F154" t="s">
        <v>15</v>
      </c>
      <c r="G154" t="s">
        <v>41</v>
      </c>
      <c r="H154">
        <v>92</v>
      </c>
      <c r="I154">
        <v>1994</v>
      </c>
      <c r="J154" t="s">
        <v>17</v>
      </c>
      <c r="K154">
        <v>78428</v>
      </c>
      <c r="L154" s="1">
        <v>34360</v>
      </c>
      <c r="M154" s="1" t="s">
        <v>3155</v>
      </c>
      <c r="N154" t="s">
        <v>86</v>
      </c>
      <c r="O154" t="s">
        <v>3149</v>
      </c>
    </row>
    <row r="155" spans="1:15" x14ac:dyDescent="0.3">
      <c r="A155" t="s">
        <v>339</v>
      </c>
      <c r="B155">
        <v>8</v>
      </c>
      <c r="C155" s="1">
        <v>45024</v>
      </c>
      <c r="D155" t="s">
        <v>340</v>
      </c>
      <c r="E155" t="s">
        <v>341</v>
      </c>
      <c r="F155" t="s">
        <v>15</v>
      </c>
      <c r="G155" t="s">
        <v>334</v>
      </c>
      <c r="H155">
        <v>101</v>
      </c>
      <c r="I155">
        <v>1995</v>
      </c>
      <c r="J155" t="s">
        <v>42</v>
      </c>
      <c r="K155">
        <v>332755</v>
      </c>
      <c r="L155" s="1">
        <v>34718</v>
      </c>
      <c r="M155" s="1" t="s">
        <v>3165</v>
      </c>
      <c r="N155" t="s">
        <v>342</v>
      </c>
      <c r="O155" t="s">
        <v>3149</v>
      </c>
    </row>
    <row r="156" spans="1:15" x14ac:dyDescent="0.3">
      <c r="A156" t="s">
        <v>349</v>
      </c>
      <c r="B156">
        <v>8</v>
      </c>
      <c r="C156" s="1">
        <v>45123</v>
      </c>
      <c r="D156" t="s">
        <v>350</v>
      </c>
      <c r="E156" t="s">
        <v>351</v>
      </c>
      <c r="F156" t="s">
        <v>15</v>
      </c>
      <c r="G156" t="s">
        <v>35</v>
      </c>
      <c r="H156">
        <v>97</v>
      </c>
      <c r="I156">
        <v>1995</v>
      </c>
      <c r="J156" t="s">
        <v>225</v>
      </c>
      <c r="K156">
        <v>239658</v>
      </c>
      <c r="L156" s="1">
        <v>34887</v>
      </c>
      <c r="M156" s="1" t="s">
        <v>3165</v>
      </c>
      <c r="N156" t="s">
        <v>352</v>
      </c>
      <c r="O156" t="s">
        <v>3175</v>
      </c>
    </row>
    <row r="157" spans="1:15" x14ac:dyDescent="0.3">
      <c r="A157" t="s">
        <v>362</v>
      </c>
      <c r="B157">
        <v>8</v>
      </c>
      <c r="C157" s="1">
        <v>44724</v>
      </c>
      <c r="D157" t="s">
        <v>363</v>
      </c>
      <c r="E157" t="s">
        <v>364</v>
      </c>
      <c r="F157" t="s">
        <v>15</v>
      </c>
      <c r="G157" t="s">
        <v>41</v>
      </c>
      <c r="H157">
        <v>99</v>
      </c>
      <c r="I157">
        <v>1995</v>
      </c>
      <c r="J157" t="s">
        <v>365</v>
      </c>
      <c r="K157">
        <v>48558</v>
      </c>
      <c r="L157" s="1">
        <v>34948</v>
      </c>
      <c r="M157" s="1" t="s">
        <v>3207</v>
      </c>
      <c r="N157" t="s">
        <v>293</v>
      </c>
      <c r="O157" t="s">
        <v>3149</v>
      </c>
    </row>
    <row r="158" spans="1:15" x14ac:dyDescent="0.3">
      <c r="A158" t="s">
        <v>382</v>
      </c>
      <c r="B158">
        <v>6</v>
      </c>
      <c r="C158" s="1">
        <v>44567</v>
      </c>
      <c r="D158" t="s">
        <v>383</v>
      </c>
      <c r="E158" t="s">
        <v>384</v>
      </c>
      <c r="F158" t="s">
        <v>15</v>
      </c>
      <c r="G158" t="s">
        <v>334</v>
      </c>
      <c r="H158">
        <v>98</v>
      </c>
      <c r="I158">
        <v>1995</v>
      </c>
      <c r="J158" t="s">
        <v>325</v>
      </c>
      <c r="K158">
        <v>191256</v>
      </c>
      <c r="L158" s="1">
        <v>34846</v>
      </c>
      <c r="M158" s="1" t="s">
        <v>3155</v>
      </c>
      <c r="N158" t="s">
        <v>385</v>
      </c>
      <c r="O158" t="s">
        <v>3149</v>
      </c>
    </row>
    <row r="159" spans="1:15" x14ac:dyDescent="0.3">
      <c r="A159" t="s">
        <v>406</v>
      </c>
      <c r="B159">
        <v>7</v>
      </c>
      <c r="C159" s="1">
        <v>44820</v>
      </c>
      <c r="D159" t="s">
        <v>407</v>
      </c>
      <c r="E159" t="s">
        <v>408</v>
      </c>
      <c r="F159" t="s">
        <v>15</v>
      </c>
      <c r="G159" t="s">
        <v>122</v>
      </c>
      <c r="H159">
        <v>127</v>
      </c>
      <c r="I159">
        <v>1995</v>
      </c>
      <c r="J159" t="s">
        <v>409</v>
      </c>
      <c r="K159">
        <v>1761940</v>
      </c>
      <c r="L159" s="1">
        <v>34957</v>
      </c>
      <c r="M159" s="1" t="s">
        <v>3165</v>
      </c>
      <c r="N159" t="s">
        <v>205</v>
      </c>
      <c r="O159" t="s">
        <v>3149</v>
      </c>
    </row>
    <row r="160" spans="1:15" x14ac:dyDescent="0.3">
      <c r="A160" t="s">
        <v>414</v>
      </c>
      <c r="B160">
        <v>7</v>
      </c>
      <c r="C160" s="1">
        <v>45134</v>
      </c>
      <c r="D160" t="s">
        <v>415</v>
      </c>
      <c r="E160" t="s">
        <v>416</v>
      </c>
      <c r="F160" t="s">
        <v>15</v>
      </c>
      <c r="G160" t="s">
        <v>417</v>
      </c>
      <c r="H160">
        <v>128</v>
      </c>
      <c r="I160">
        <v>1995</v>
      </c>
      <c r="J160" t="s">
        <v>24</v>
      </c>
      <c r="K160">
        <v>73129</v>
      </c>
      <c r="L160" s="1">
        <v>34963</v>
      </c>
      <c r="M160" s="1" t="s">
        <v>3165</v>
      </c>
      <c r="N160" t="s">
        <v>179</v>
      </c>
      <c r="O160" t="s">
        <v>3149</v>
      </c>
    </row>
    <row r="161" spans="1:15" x14ac:dyDescent="0.3">
      <c r="A161" t="s">
        <v>423</v>
      </c>
      <c r="B161">
        <v>7</v>
      </c>
      <c r="C161" s="1">
        <v>45267</v>
      </c>
      <c r="D161" t="s">
        <v>424</v>
      </c>
      <c r="E161" t="s">
        <v>425</v>
      </c>
      <c r="F161" t="s">
        <v>15</v>
      </c>
      <c r="G161" t="s">
        <v>334</v>
      </c>
      <c r="H161">
        <v>170</v>
      </c>
      <c r="I161">
        <v>1995</v>
      </c>
      <c r="J161" t="s">
        <v>426</v>
      </c>
      <c r="K161">
        <v>60627</v>
      </c>
      <c r="L161" s="1">
        <v>34790</v>
      </c>
      <c r="M161" s="1" t="s">
        <v>3182</v>
      </c>
      <c r="N161" t="s">
        <v>427</v>
      </c>
      <c r="O161" t="s">
        <v>3149</v>
      </c>
    </row>
    <row r="162" spans="1:15" x14ac:dyDescent="0.3">
      <c r="A162" t="s">
        <v>433</v>
      </c>
      <c r="B162">
        <v>6</v>
      </c>
      <c r="C162" s="1">
        <v>44628</v>
      </c>
      <c r="D162" t="s">
        <v>434</v>
      </c>
      <c r="E162" t="s">
        <v>435</v>
      </c>
      <c r="F162" t="s">
        <v>15</v>
      </c>
      <c r="G162" t="s">
        <v>41</v>
      </c>
      <c r="H162">
        <v>113</v>
      </c>
      <c r="I162">
        <v>1996</v>
      </c>
      <c r="J162" t="s">
        <v>17</v>
      </c>
      <c r="K162">
        <v>9709</v>
      </c>
      <c r="L162" s="1">
        <v>35216</v>
      </c>
      <c r="M162" s="1" t="s">
        <v>3155</v>
      </c>
      <c r="N162" t="s">
        <v>436</v>
      </c>
      <c r="O162" t="s">
        <v>3149</v>
      </c>
    </row>
    <row r="163" spans="1:15" x14ac:dyDescent="0.3">
      <c r="A163" t="s">
        <v>437</v>
      </c>
      <c r="B163">
        <v>8</v>
      </c>
      <c r="C163" s="1">
        <v>44872</v>
      </c>
      <c r="D163" t="s">
        <v>438</v>
      </c>
      <c r="E163" t="s">
        <v>439</v>
      </c>
      <c r="F163" t="s">
        <v>15</v>
      </c>
      <c r="G163" t="s">
        <v>346</v>
      </c>
      <c r="H163">
        <v>100</v>
      </c>
      <c r="I163">
        <v>1996</v>
      </c>
      <c r="J163" t="s">
        <v>24</v>
      </c>
      <c r="K163">
        <v>65283</v>
      </c>
      <c r="L163" s="1">
        <v>35202</v>
      </c>
      <c r="M163" s="1" t="s">
        <v>3169</v>
      </c>
      <c r="N163" t="s">
        <v>253</v>
      </c>
      <c r="O163" t="s">
        <v>3149</v>
      </c>
    </row>
    <row r="164" spans="1:15" x14ac:dyDescent="0.3">
      <c r="A164" t="s">
        <v>445</v>
      </c>
      <c r="B164">
        <v>7</v>
      </c>
      <c r="C164" s="1">
        <v>44543</v>
      </c>
      <c r="D164" t="s">
        <v>446</v>
      </c>
      <c r="E164" t="s">
        <v>447</v>
      </c>
      <c r="F164" t="s">
        <v>15</v>
      </c>
      <c r="G164" t="s">
        <v>334</v>
      </c>
      <c r="H164">
        <v>98</v>
      </c>
      <c r="I164">
        <v>1996</v>
      </c>
      <c r="J164" t="s">
        <v>188</v>
      </c>
      <c r="K164">
        <v>713060</v>
      </c>
      <c r="L164" s="1">
        <v>35132</v>
      </c>
      <c r="M164" s="1" t="s">
        <v>3165</v>
      </c>
      <c r="N164" t="s">
        <v>448</v>
      </c>
      <c r="O164" t="s">
        <v>3149</v>
      </c>
    </row>
    <row r="165" spans="1:15" x14ac:dyDescent="0.3">
      <c r="A165" t="s">
        <v>449</v>
      </c>
      <c r="B165">
        <v>5</v>
      </c>
      <c r="C165" s="1">
        <v>45115</v>
      </c>
      <c r="D165" t="s">
        <v>450</v>
      </c>
      <c r="E165" t="s">
        <v>451</v>
      </c>
      <c r="F165" t="s">
        <v>15</v>
      </c>
      <c r="G165" t="s">
        <v>41</v>
      </c>
      <c r="H165">
        <v>134</v>
      </c>
      <c r="I165">
        <v>1997</v>
      </c>
      <c r="J165" t="s">
        <v>370</v>
      </c>
      <c r="K165">
        <v>150996</v>
      </c>
      <c r="L165" s="1">
        <v>35445</v>
      </c>
      <c r="M165" s="1" t="s">
        <v>3165</v>
      </c>
      <c r="N165" t="s">
        <v>452</v>
      </c>
      <c r="O165" t="s">
        <v>3149</v>
      </c>
    </row>
    <row r="166" spans="1:15" x14ac:dyDescent="0.3">
      <c r="A166" t="s">
        <v>480</v>
      </c>
      <c r="B166">
        <v>8</v>
      </c>
      <c r="C166" s="1">
        <v>44200</v>
      </c>
      <c r="D166" t="s">
        <v>481</v>
      </c>
      <c r="E166" t="s">
        <v>482</v>
      </c>
      <c r="F166" t="s">
        <v>15</v>
      </c>
      <c r="G166" t="s">
        <v>334</v>
      </c>
      <c r="H166">
        <v>93</v>
      </c>
      <c r="I166">
        <v>1996</v>
      </c>
      <c r="J166" t="s">
        <v>24</v>
      </c>
      <c r="K166">
        <v>716413</v>
      </c>
      <c r="L166" s="1">
        <v>35118</v>
      </c>
      <c r="M166" s="1" t="s">
        <v>3171</v>
      </c>
      <c r="N166" t="s">
        <v>483</v>
      </c>
      <c r="O166" t="s">
        <v>3149</v>
      </c>
    </row>
    <row r="167" spans="1:15" x14ac:dyDescent="0.3">
      <c r="A167" t="s">
        <v>489</v>
      </c>
      <c r="B167">
        <v>6</v>
      </c>
      <c r="C167" s="1">
        <v>45177</v>
      </c>
      <c r="D167" t="s">
        <v>490</v>
      </c>
      <c r="E167" t="s">
        <v>491</v>
      </c>
      <c r="F167" t="s">
        <v>15</v>
      </c>
      <c r="G167" t="s">
        <v>198</v>
      </c>
      <c r="H167">
        <v>90</v>
      </c>
      <c r="I167">
        <v>1996</v>
      </c>
      <c r="J167" t="s">
        <v>17</v>
      </c>
      <c r="K167">
        <v>3329</v>
      </c>
      <c r="L167" s="1">
        <v>35124</v>
      </c>
      <c r="M167" s="1" t="s">
        <v>3165</v>
      </c>
      <c r="N167" t="s">
        <v>492</v>
      </c>
      <c r="O167" t="s">
        <v>3175</v>
      </c>
    </row>
    <row r="168" spans="1:15" x14ac:dyDescent="0.3">
      <c r="A168" t="s">
        <v>497</v>
      </c>
      <c r="B168">
        <v>6</v>
      </c>
      <c r="C168" s="1">
        <v>44401</v>
      </c>
      <c r="D168" t="s">
        <v>498</v>
      </c>
      <c r="E168" t="s">
        <v>499</v>
      </c>
      <c r="F168" t="s">
        <v>15</v>
      </c>
      <c r="G168" t="s">
        <v>334</v>
      </c>
      <c r="H168">
        <v>98</v>
      </c>
      <c r="I168">
        <v>2000</v>
      </c>
      <c r="J168" t="s">
        <v>42</v>
      </c>
      <c r="K168">
        <v>163150</v>
      </c>
      <c r="L168" s="1">
        <v>36666</v>
      </c>
      <c r="M168" s="1" t="s">
        <v>3207</v>
      </c>
      <c r="N168" t="s">
        <v>293</v>
      </c>
      <c r="O168" t="s">
        <v>3149</v>
      </c>
    </row>
    <row r="169" spans="1:15" x14ac:dyDescent="0.3">
      <c r="A169" t="s">
        <v>500</v>
      </c>
      <c r="B169">
        <v>7</v>
      </c>
      <c r="C169" s="1">
        <v>44204</v>
      </c>
      <c r="D169" t="s">
        <v>501</v>
      </c>
      <c r="E169" t="s">
        <v>502</v>
      </c>
      <c r="F169" t="s">
        <v>15</v>
      </c>
      <c r="G169" t="s">
        <v>334</v>
      </c>
      <c r="H169">
        <v>117</v>
      </c>
      <c r="I169">
        <v>1998</v>
      </c>
      <c r="J169" t="s">
        <v>503</v>
      </c>
      <c r="K169">
        <v>848805</v>
      </c>
      <c r="L169" s="1">
        <v>35813</v>
      </c>
      <c r="M169" s="1" t="s">
        <v>3165</v>
      </c>
      <c r="N169" t="s">
        <v>448</v>
      </c>
      <c r="O169" t="s">
        <v>3149</v>
      </c>
    </row>
    <row r="170" spans="1:15" x14ac:dyDescent="0.3">
      <c r="A170" t="s">
        <v>504</v>
      </c>
      <c r="B170">
        <v>5</v>
      </c>
      <c r="C170" s="1">
        <v>45028</v>
      </c>
      <c r="D170" t="s">
        <v>505</v>
      </c>
      <c r="E170" t="s">
        <v>506</v>
      </c>
      <c r="F170" t="s">
        <v>15</v>
      </c>
      <c r="G170" t="s">
        <v>143</v>
      </c>
      <c r="H170">
        <v>155</v>
      </c>
      <c r="I170">
        <v>1997</v>
      </c>
      <c r="J170" t="s">
        <v>24</v>
      </c>
      <c r="K170">
        <v>278794</v>
      </c>
      <c r="L170" s="1">
        <v>35684</v>
      </c>
      <c r="M170" s="1" t="s">
        <v>3165</v>
      </c>
      <c r="N170" t="s">
        <v>356</v>
      </c>
      <c r="O170" t="s">
        <v>3149</v>
      </c>
    </row>
    <row r="171" spans="1:15" x14ac:dyDescent="0.3">
      <c r="A171" t="s">
        <v>507</v>
      </c>
      <c r="B171">
        <v>3</v>
      </c>
      <c r="C171" s="1">
        <v>44847</v>
      </c>
      <c r="D171" t="s">
        <v>508</v>
      </c>
      <c r="E171" t="s">
        <v>509</v>
      </c>
      <c r="F171" t="s">
        <v>15</v>
      </c>
      <c r="G171" t="s">
        <v>148</v>
      </c>
      <c r="H171">
        <v>110</v>
      </c>
      <c r="I171">
        <v>1998</v>
      </c>
      <c r="J171" t="s">
        <v>17</v>
      </c>
      <c r="K171">
        <v>58755</v>
      </c>
      <c r="L171" s="1">
        <v>35816</v>
      </c>
      <c r="M171" s="1" t="s">
        <v>3165</v>
      </c>
      <c r="N171" t="s">
        <v>510</v>
      </c>
      <c r="O171" t="s">
        <v>3149</v>
      </c>
    </row>
    <row r="172" spans="1:15" x14ac:dyDescent="0.3">
      <c r="A172" t="s">
        <v>511</v>
      </c>
      <c r="B172">
        <v>5</v>
      </c>
      <c r="C172" s="1">
        <v>45099</v>
      </c>
      <c r="D172" t="s">
        <v>512</v>
      </c>
      <c r="E172" t="s">
        <v>513</v>
      </c>
      <c r="F172" t="s">
        <v>15</v>
      </c>
      <c r="G172" t="s">
        <v>84</v>
      </c>
      <c r="H172">
        <v>96</v>
      </c>
      <c r="I172">
        <v>1997</v>
      </c>
      <c r="J172" t="s">
        <v>42</v>
      </c>
      <c r="K172">
        <v>33152</v>
      </c>
      <c r="L172" s="1">
        <v>35567</v>
      </c>
      <c r="M172" s="1" t="s">
        <v>3207</v>
      </c>
      <c r="N172" t="s">
        <v>293</v>
      </c>
      <c r="O172" t="s">
        <v>3149</v>
      </c>
    </row>
    <row r="173" spans="1:15" x14ac:dyDescent="0.3">
      <c r="A173" t="s">
        <v>518</v>
      </c>
      <c r="B173">
        <v>6</v>
      </c>
      <c r="C173" s="1">
        <v>44240</v>
      </c>
      <c r="D173" t="s">
        <v>519</v>
      </c>
      <c r="E173" t="s">
        <v>520</v>
      </c>
      <c r="F173" t="s">
        <v>15</v>
      </c>
      <c r="G173" t="s">
        <v>84</v>
      </c>
      <c r="H173">
        <v>129</v>
      </c>
      <c r="I173">
        <v>1997</v>
      </c>
      <c r="J173" t="s">
        <v>178</v>
      </c>
      <c r="K173">
        <v>422191</v>
      </c>
      <c r="L173" s="1">
        <v>35676</v>
      </c>
      <c r="M173" s="1" t="s">
        <v>3165</v>
      </c>
      <c r="N173" t="s">
        <v>205</v>
      </c>
      <c r="O173" t="s">
        <v>3149</v>
      </c>
    </row>
    <row r="174" spans="1:15" x14ac:dyDescent="0.3">
      <c r="A174" t="s">
        <v>526</v>
      </c>
      <c r="B174">
        <v>4</v>
      </c>
      <c r="C174" s="1">
        <v>44996</v>
      </c>
      <c r="D174" t="s">
        <v>527</v>
      </c>
      <c r="E174" t="s">
        <v>528</v>
      </c>
      <c r="F174" t="s">
        <v>15</v>
      </c>
      <c r="G174" t="s">
        <v>84</v>
      </c>
      <c r="H174">
        <v>95</v>
      </c>
      <c r="I174">
        <v>1997</v>
      </c>
      <c r="J174" t="s">
        <v>24</v>
      </c>
      <c r="K174">
        <v>35405</v>
      </c>
      <c r="L174" s="1">
        <v>35566</v>
      </c>
      <c r="M174" s="1" t="s">
        <v>3193</v>
      </c>
      <c r="N174" t="s">
        <v>529</v>
      </c>
      <c r="O174" t="s">
        <v>3149</v>
      </c>
    </row>
    <row r="175" spans="1:15" x14ac:dyDescent="0.3">
      <c r="A175" t="s">
        <v>530</v>
      </c>
      <c r="B175">
        <v>7</v>
      </c>
      <c r="C175" s="1">
        <v>44241</v>
      </c>
      <c r="D175" t="s">
        <v>531</v>
      </c>
      <c r="E175" t="s">
        <v>532</v>
      </c>
      <c r="F175" t="s">
        <v>15</v>
      </c>
      <c r="G175" t="s">
        <v>369</v>
      </c>
      <c r="H175">
        <v>103</v>
      </c>
      <c r="I175">
        <v>1998</v>
      </c>
      <c r="J175" t="s">
        <v>261</v>
      </c>
      <c r="K175">
        <v>1167904</v>
      </c>
      <c r="L175" s="1">
        <v>35947</v>
      </c>
      <c r="M175" s="1" t="s">
        <v>3165</v>
      </c>
      <c r="N175" t="s">
        <v>533</v>
      </c>
      <c r="O175" t="s">
        <v>3149</v>
      </c>
    </row>
    <row r="176" spans="1:15" x14ac:dyDescent="0.3">
      <c r="A176" t="s">
        <v>534</v>
      </c>
      <c r="B176">
        <v>8</v>
      </c>
      <c r="C176" s="1">
        <v>44232</v>
      </c>
      <c r="D176" t="s">
        <v>535</v>
      </c>
      <c r="E176" t="s">
        <v>536</v>
      </c>
      <c r="F176" t="s">
        <v>15</v>
      </c>
      <c r="G176" t="s">
        <v>56</v>
      </c>
      <c r="H176">
        <v>159</v>
      </c>
      <c r="I176">
        <v>1999</v>
      </c>
      <c r="J176" t="s">
        <v>178</v>
      </c>
      <c r="K176">
        <v>367672</v>
      </c>
      <c r="L176" s="1">
        <v>36354</v>
      </c>
      <c r="M176" s="1" t="s">
        <v>3165</v>
      </c>
      <c r="N176" t="s">
        <v>537</v>
      </c>
      <c r="O176" t="s">
        <v>3149</v>
      </c>
    </row>
    <row r="177" spans="1:15" x14ac:dyDescent="0.3">
      <c r="A177" t="s">
        <v>538</v>
      </c>
      <c r="B177">
        <v>7</v>
      </c>
      <c r="C177" s="1">
        <v>43839</v>
      </c>
      <c r="D177" t="s">
        <v>539</v>
      </c>
      <c r="E177" t="s">
        <v>540</v>
      </c>
      <c r="F177" t="s">
        <v>15</v>
      </c>
      <c r="G177" t="s">
        <v>56</v>
      </c>
      <c r="H177">
        <v>124</v>
      </c>
      <c r="I177">
        <v>1998</v>
      </c>
      <c r="J177" t="s">
        <v>541</v>
      </c>
      <c r="K177">
        <v>135112</v>
      </c>
      <c r="L177" s="1">
        <v>36055</v>
      </c>
      <c r="M177" s="1" t="s">
        <v>3165</v>
      </c>
      <c r="N177" t="s">
        <v>542</v>
      </c>
      <c r="O177" t="s">
        <v>3149</v>
      </c>
    </row>
    <row r="178" spans="1:15" x14ac:dyDescent="0.3">
      <c r="A178" t="s">
        <v>543</v>
      </c>
      <c r="B178">
        <v>6</v>
      </c>
      <c r="C178" s="1">
        <v>45237</v>
      </c>
      <c r="D178" t="s">
        <v>544</v>
      </c>
      <c r="E178" t="s">
        <v>545</v>
      </c>
      <c r="F178" t="s">
        <v>15</v>
      </c>
      <c r="G178" t="s">
        <v>116</v>
      </c>
      <c r="H178">
        <v>104</v>
      </c>
      <c r="I178">
        <v>1998</v>
      </c>
      <c r="J178" t="s">
        <v>546</v>
      </c>
      <c r="K178">
        <v>91866</v>
      </c>
      <c r="L178" s="1">
        <v>36084</v>
      </c>
      <c r="M178" s="1" t="s">
        <v>3165</v>
      </c>
      <c r="N178" t="s">
        <v>547</v>
      </c>
      <c r="O178" t="s">
        <v>3149</v>
      </c>
    </row>
    <row r="179" spans="1:15" x14ac:dyDescent="0.3">
      <c r="A179" t="s">
        <v>553</v>
      </c>
      <c r="B179">
        <v>6</v>
      </c>
      <c r="C179" s="1">
        <v>44922</v>
      </c>
      <c r="D179" t="s">
        <v>554</v>
      </c>
      <c r="E179" t="s">
        <v>555</v>
      </c>
      <c r="F179" t="s">
        <v>15</v>
      </c>
      <c r="G179" t="s">
        <v>35</v>
      </c>
      <c r="H179">
        <v>118</v>
      </c>
      <c r="I179">
        <v>1998</v>
      </c>
      <c r="J179" t="s">
        <v>556</v>
      </c>
      <c r="K179">
        <v>37859</v>
      </c>
      <c r="L179" s="1">
        <v>35937</v>
      </c>
      <c r="M179" s="1" t="s">
        <v>3165</v>
      </c>
      <c r="N179" t="s">
        <v>557</v>
      </c>
      <c r="O179" t="s">
        <v>3149</v>
      </c>
    </row>
    <row r="180" spans="1:15" x14ac:dyDescent="0.3">
      <c r="A180" t="s">
        <v>561</v>
      </c>
      <c r="B180">
        <v>6</v>
      </c>
      <c r="C180" s="1">
        <v>44897</v>
      </c>
      <c r="D180" t="s">
        <v>562</v>
      </c>
      <c r="E180" t="s">
        <v>563</v>
      </c>
      <c r="F180" t="s">
        <v>15</v>
      </c>
      <c r="G180" t="s">
        <v>148</v>
      </c>
      <c r="H180">
        <v>77</v>
      </c>
      <c r="I180">
        <v>2005</v>
      </c>
      <c r="J180" t="s">
        <v>564</v>
      </c>
      <c r="K180">
        <v>294750</v>
      </c>
      <c r="L180" s="1">
        <v>38602</v>
      </c>
      <c r="M180" s="1" t="s">
        <v>3165</v>
      </c>
      <c r="N180" t="s">
        <v>565</v>
      </c>
      <c r="O180" t="s">
        <v>3149</v>
      </c>
    </row>
    <row r="181" spans="1:15" x14ac:dyDescent="0.3">
      <c r="A181" t="s">
        <v>580</v>
      </c>
      <c r="B181">
        <v>7</v>
      </c>
      <c r="C181" s="1">
        <v>44904</v>
      </c>
      <c r="D181" t="s">
        <v>581</v>
      </c>
      <c r="E181" t="s">
        <v>582</v>
      </c>
      <c r="F181" t="s">
        <v>583</v>
      </c>
      <c r="G181" t="s">
        <v>35</v>
      </c>
      <c r="H181">
        <v>120</v>
      </c>
      <c r="I181">
        <v>1998</v>
      </c>
      <c r="J181" t="s">
        <v>584</v>
      </c>
      <c r="K181">
        <v>49451</v>
      </c>
      <c r="L181" s="1">
        <v>35826</v>
      </c>
      <c r="M181" s="1" t="s">
        <v>3165</v>
      </c>
      <c r="N181" t="s">
        <v>585</v>
      </c>
      <c r="O181" t="s">
        <v>3149</v>
      </c>
    </row>
    <row r="182" spans="1:15" x14ac:dyDescent="0.3">
      <c r="A182" t="s">
        <v>673</v>
      </c>
      <c r="B182">
        <v>7</v>
      </c>
      <c r="C182" s="1">
        <v>45140</v>
      </c>
      <c r="D182" t="s">
        <v>674</v>
      </c>
      <c r="E182" t="s">
        <v>675</v>
      </c>
      <c r="F182" t="s">
        <v>15</v>
      </c>
      <c r="G182" t="s">
        <v>84</v>
      </c>
      <c r="H182">
        <v>81</v>
      </c>
      <c r="I182">
        <v>1998</v>
      </c>
      <c r="J182" t="s">
        <v>676</v>
      </c>
      <c r="K182">
        <v>204987</v>
      </c>
      <c r="L182" s="1">
        <v>36027</v>
      </c>
      <c r="M182" s="1" t="s">
        <v>3180</v>
      </c>
      <c r="N182" t="s">
        <v>677</v>
      </c>
      <c r="O182" t="s">
        <v>3149</v>
      </c>
    </row>
    <row r="183" spans="1:15" x14ac:dyDescent="0.3">
      <c r="A183" t="s">
        <v>710</v>
      </c>
      <c r="B183">
        <v>7</v>
      </c>
      <c r="C183" s="1">
        <v>44819</v>
      </c>
      <c r="D183" t="s">
        <v>711</v>
      </c>
      <c r="E183" t="s">
        <v>712</v>
      </c>
      <c r="F183" t="s">
        <v>15</v>
      </c>
      <c r="G183" t="s">
        <v>148</v>
      </c>
      <c r="H183">
        <v>139</v>
      </c>
      <c r="I183">
        <v>1999</v>
      </c>
      <c r="J183" t="s">
        <v>123</v>
      </c>
      <c r="K183">
        <v>229527</v>
      </c>
      <c r="L183" s="1">
        <v>36506</v>
      </c>
      <c r="M183" s="1" t="s">
        <v>3165</v>
      </c>
      <c r="N183" t="s">
        <v>713</v>
      </c>
      <c r="O183" t="s">
        <v>3149</v>
      </c>
    </row>
    <row r="184" spans="1:15" x14ac:dyDescent="0.3">
      <c r="A184" t="s">
        <v>748</v>
      </c>
      <c r="B184">
        <v>8</v>
      </c>
      <c r="C184" s="1">
        <v>44199</v>
      </c>
      <c r="D184" t="s">
        <v>749</v>
      </c>
      <c r="E184" t="s">
        <v>750</v>
      </c>
      <c r="F184" t="s">
        <v>15</v>
      </c>
      <c r="G184" t="s">
        <v>751</v>
      </c>
      <c r="H184">
        <v>139</v>
      </c>
      <c r="I184">
        <v>1999</v>
      </c>
      <c r="J184" t="s">
        <v>24</v>
      </c>
      <c r="K184">
        <v>2272868</v>
      </c>
      <c r="L184" s="1">
        <v>36413</v>
      </c>
      <c r="M184" s="1" t="s">
        <v>3165</v>
      </c>
      <c r="N184" t="s">
        <v>205</v>
      </c>
      <c r="O184" t="s">
        <v>3149</v>
      </c>
    </row>
    <row r="185" spans="1:15" x14ac:dyDescent="0.3">
      <c r="A185" t="s">
        <v>809</v>
      </c>
      <c r="B185">
        <v>8</v>
      </c>
      <c r="C185" s="1">
        <v>44563</v>
      </c>
      <c r="D185" t="s">
        <v>810</v>
      </c>
      <c r="E185" t="s">
        <v>811</v>
      </c>
      <c r="F185" t="s">
        <v>15</v>
      </c>
      <c r="G185" t="s">
        <v>41</v>
      </c>
      <c r="H185">
        <v>102</v>
      </c>
      <c r="I185">
        <v>2000</v>
      </c>
      <c r="J185" t="s">
        <v>812</v>
      </c>
      <c r="K185">
        <v>694029</v>
      </c>
      <c r="L185" s="1">
        <v>36546</v>
      </c>
      <c r="M185" s="1" t="s">
        <v>3165</v>
      </c>
      <c r="N185" t="s">
        <v>813</v>
      </c>
      <c r="O185" t="s">
        <v>3175</v>
      </c>
    </row>
    <row r="186" spans="1:15" x14ac:dyDescent="0.3">
      <c r="A186" t="s">
        <v>818</v>
      </c>
      <c r="B186">
        <v>7</v>
      </c>
      <c r="C186" s="1">
        <v>44767</v>
      </c>
      <c r="D186" t="s">
        <v>819</v>
      </c>
      <c r="E186" t="s">
        <v>820</v>
      </c>
      <c r="F186" t="s">
        <v>15</v>
      </c>
      <c r="G186" t="s">
        <v>148</v>
      </c>
      <c r="H186">
        <v>71</v>
      </c>
      <c r="I186">
        <v>1968</v>
      </c>
      <c r="J186" t="s">
        <v>821</v>
      </c>
      <c r="K186">
        <v>449</v>
      </c>
      <c r="L186" s="1">
        <v>25095</v>
      </c>
      <c r="M186" s="1" t="s">
        <v>3179</v>
      </c>
      <c r="N186" t="s">
        <v>822</v>
      </c>
      <c r="O186" t="s">
        <v>3149</v>
      </c>
    </row>
    <row r="187" spans="1:15" x14ac:dyDescent="0.3">
      <c r="A187" t="s">
        <v>823</v>
      </c>
      <c r="B187">
        <v>6</v>
      </c>
      <c r="C187" s="1">
        <v>45155</v>
      </c>
      <c r="D187" t="s">
        <v>824</v>
      </c>
      <c r="E187" t="s">
        <v>825</v>
      </c>
      <c r="F187" t="s">
        <v>15</v>
      </c>
      <c r="G187" t="s">
        <v>56</v>
      </c>
      <c r="H187">
        <v>90</v>
      </c>
      <c r="I187">
        <v>1999</v>
      </c>
      <c r="J187" t="s">
        <v>17</v>
      </c>
      <c r="K187">
        <v>14257</v>
      </c>
      <c r="L187" s="1">
        <v>36250</v>
      </c>
      <c r="M187" s="1" t="s">
        <v>3155</v>
      </c>
      <c r="N187" t="s">
        <v>826</v>
      </c>
      <c r="O187" t="s">
        <v>3149</v>
      </c>
    </row>
    <row r="188" spans="1:15" x14ac:dyDescent="0.3">
      <c r="A188" t="s">
        <v>962</v>
      </c>
      <c r="B188">
        <v>7</v>
      </c>
      <c r="C188" s="1">
        <v>44599</v>
      </c>
      <c r="D188" t="s">
        <v>963</v>
      </c>
      <c r="E188" t="s">
        <v>964</v>
      </c>
      <c r="F188" t="s">
        <v>15</v>
      </c>
      <c r="G188" t="s">
        <v>79</v>
      </c>
      <c r="H188">
        <v>97</v>
      </c>
      <c r="I188">
        <v>1999</v>
      </c>
      <c r="J188" t="s">
        <v>42</v>
      </c>
      <c r="K188">
        <v>166034</v>
      </c>
      <c r="L188" s="1">
        <v>36299</v>
      </c>
      <c r="M188" s="1" t="s">
        <v>3165</v>
      </c>
      <c r="N188" t="s">
        <v>796</v>
      </c>
      <c r="O188" t="s">
        <v>3175</v>
      </c>
    </row>
    <row r="189" spans="1:15" x14ac:dyDescent="0.3">
      <c r="A189" t="s">
        <v>1001</v>
      </c>
      <c r="B189">
        <v>5</v>
      </c>
      <c r="C189" s="1">
        <v>44937</v>
      </c>
      <c r="D189" t="s">
        <v>1002</v>
      </c>
      <c r="E189" t="s">
        <v>1003</v>
      </c>
      <c r="F189" t="s">
        <v>15</v>
      </c>
      <c r="G189" t="s">
        <v>524</v>
      </c>
      <c r="H189">
        <v>119</v>
      </c>
      <c r="I189">
        <v>2000</v>
      </c>
      <c r="J189" t="s">
        <v>1004</v>
      </c>
      <c r="K189">
        <v>250876</v>
      </c>
      <c r="L189" s="1">
        <v>36558</v>
      </c>
      <c r="M189" s="1" t="s">
        <v>3165</v>
      </c>
      <c r="N189" t="s">
        <v>483</v>
      </c>
      <c r="O189" t="s">
        <v>3149</v>
      </c>
    </row>
    <row r="190" spans="1:15" x14ac:dyDescent="0.3">
      <c r="A190" t="s">
        <v>1034</v>
      </c>
      <c r="B190">
        <v>7</v>
      </c>
      <c r="C190" s="1">
        <v>44344</v>
      </c>
      <c r="D190" t="s">
        <v>1035</v>
      </c>
      <c r="E190" t="s">
        <v>1036</v>
      </c>
      <c r="F190" t="s">
        <v>15</v>
      </c>
      <c r="G190" t="s">
        <v>143</v>
      </c>
      <c r="H190">
        <v>147</v>
      </c>
      <c r="I190">
        <v>2001</v>
      </c>
      <c r="J190" t="s">
        <v>178</v>
      </c>
      <c r="K190">
        <v>377763</v>
      </c>
      <c r="L190" s="1">
        <v>37027</v>
      </c>
      <c r="M190" s="1" t="s">
        <v>3165</v>
      </c>
      <c r="N190" t="s">
        <v>452</v>
      </c>
      <c r="O190" t="s">
        <v>3149</v>
      </c>
    </row>
    <row r="191" spans="1:15" x14ac:dyDescent="0.3">
      <c r="A191" t="s">
        <v>1045</v>
      </c>
      <c r="B191">
        <v>8</v>
      </c>
      <c r="C191" s="1">
        <v>44564</v>
      </c>
      <c r="D191" t="s">
        <v>1046</v>
      </c>
      <c r="E191" t="s">
        <v>1047</v>
      </c>
      <c r="F191" t="s">
        <v>15</v>
      </c>
      <c r="G191" t="s">
        <v>187</v>
      </c>
      <c r="H191">
        <v>122</v>
      </c>
      <c r="I191">
        <v>1999</v>
      </c>
      <c r="J191" t="s">
        <v>24</v>
      </c>
      <c r="K191">
        <v>1197078</v>
      </c>
      <c r="L191" s="1">
        <v>36411</v>
      </c>
      <c r="M191" s="1" t="s">
        <v>3165</v>
      </c>
      <c r="N191" t="s">
        <v>1048</v>
      </c>
      <c r="O191" t="s">
        <v>3149</v>
      </c>
    </row>
    <row r="192" spans="1:15" x14ac:dyDescent="0.3">
      <c r="A192" t="s">
        <v>1083</v>
      </c>
      <c r="B192">
        <v>9</v>
      </c>
      <c r="C192" s="1">
        <v>44819</v>
      </c>
      <c r="D192" t="s">
        <v>1084</v>
      </c>
      <c r="E192" t="s">
        <v>1085</v>
      </c>
      <c r="F192" t="s">
        <v>15</v>
      </c>
      <c r="G192" t="s">
        <v>16</v>
      </c>
      <c r="H192">
        <v>127</v>
      </c>
      <c r="I192">
        <v>1999</v>
      </c>
      <c r="J192" t="s">
        <v>574</v>
      </c>
      <c r="K192">
        <v>206591</v>
      </c>
      <c r="L192" s="1">
        <v>36502</v>
      </c>
      <c r="M192" s="1" t="s">
        <v>3165</v>
      </c>
      <c r="N192" t="s">
        <v>1086</v>
      </c>
      <c r="O192" t="s">
        <v>3149</v>
      </c>
    </row>
    <row r="193" spans="1:15" x14ac:dyDescent="0.3">
      <c r="A193" t="s">
        <v>1118</v>
      </c>
      <c r="B193">
        <v>8</v>
      </c>
      <c r="C193" s="1">
        <v>43844</v>
      </c>
      <c r="D193" t="s">
        <v>1119</v>
      </c>
      <c r="E193" t="s">
        <v>1120</v>
      </c>
      <c r="F193" t="s">
        <v>15</v>
      </c>
      <c r="G193" t="s">
        <v>187</v>
      </c>
      <c r="H193">
        <v>102</v>
      </c>
      <c r="I193">
        <v>2000</v>
      </c>
      <c r="J193" t="s">
        <v>24</v>
      </c>
      <c r="K193">
        <v>885238</v>
      </c>
      <c r="L193" s="1">
        <v>36660</v>
      </c>
      <c r="M193" s="1" t="s">
        <v>3165</v>
      </c>
      <c r="N193" t="s">
        <v>760</v>
      </c>
      <c r="O193" t="s">
        <v>3149</v>
      </c>
    </row>
    <row r="194" spans="1:15" x14ac:dyDescent="0.3">
      <c r="A194" t="s">
        <v>1121</v>
      </c>
      <c r="B194">
        <v>6</v>
      </c>
      <c r="C194" s="1">
        <v>44482</v>
      </c>
      <c r="D194" t="s">
        <v>1122</v>
      </c>
      <c r="E194" t="s">
        <v>1123</v>
      </c>
      <c r="F194" t="s">
        <v>47</v>
      </c>
      <c r="G194" t="s">
        <v>116</v>
      </c>
      <c r="H194">
        <v>23</v>
      </c>
      <c r="I194">
        <v>1991</v>
      </c>
      <c r="J194" t="s">
        <v>199</v>
      </c>
      <c r="K194">
        <v>210</v>
      </c>
      <c r="L194" s="1">
        <v>33432</v>
      </c>
      <c r="M194" s="1" t="s">
        <v>3171</v>
      </c>
      <c r="N194" t="s">
        <v>1124</v>
      </c>
      <c r="O194" t="s">
        <v>3175</v>
      </c>
    </row>
    <row r="195" spans="1:15" x14ac:dyDescent="0.3">
      <c r="A195" t="s">
        <v>1139</v>
      </c>
      <c r="B195">
        <v>7</v>
      </c>
      <c r="C195" s="1">
        <v>45214</v>
      </c>
      <c r="D195" t="s">
        <v>1140</v>
      </c>
      <c r="E195" t="s">
        <v>1141</v>
      </c>
      <c r="F195" t="s">
        <v>15</v>
      </c>
      <c r="G195" t="s">
        <v>61</v>
      </c>
      <c r="H195">
        <v>101</v>
      </c>
      <c r="I195">
        <v>1999</v>
      </c>
      <c r="J195" t="s">
        <v>17</v>
      </c>
      <c r="K195">
        <v>101730</v>
      </c>
      <c r="L195" s="1">
        <v>36258</v>
      </c>
      <c r="M195" s="1" t="s">
        <v>3159</v>
      </c>
      <c r="N195" t="s">
        <v>457</v>
      </c>
      <c r="O195" t="s">
        <v>3149</v>
      </c>
    </row>
    <row r="196" spans="1:15" x14ac:dyDescent="0.3">
      <c r="A196" t="s">
        <v>1145</v>
      </c>
      <c r="B196">
        <v>6</v>
      </c>
      <c r="C196" s="1">
        <v>45158</v>
      </c>
      <c r="D196" t="s">
        <v>1146</v>
      </c>
      <c r="E196" t="s">
        <v>1147</v>
      </c>
      <c r="F196" t="s">
        <v>15</v>
      </c>
      <c r="G196" t="s">
        <v>73</v>
      </c>
      <c r="H196">
        <v>81</v>
      </c>
      <c r="I196">
        <v>1999</v>
      </c>
      <c r="J196" t="s">
        <v>1148</v>
      </c>
      <c r="K196">
        <v>280667</v>
      </c>
      <c r="L196" s="1">
        <v>36185</v>
      </c>
      <c r="M196" s="1" t="s">
        <v>3165</v>
      </c>
      <c r="N196" t="s">
        <v>1149</v>
      </c>
      <c r="O196" t="s">
        <v>3149</v>
      </c>
    </row>
    <row r="197" spans="1:15" x14ac:dyDescent="0.3">
      <c r="A197" t="s">
        <v>1194</v>
      </c>
      <c r="B197">
        <v>7</v>
      </c>
      <c r="C197" s="1">
        <v>44905</v>
      </c>
      <c r="D197" t="s">
        <v>1195</v>
      </c>
      <c r="E197" t="s">
        <v>1196</v>
      </c>
      <c r="F197" t="s">
        <v>708</v>
      </c>
      <c r="G197" t="s">
        <v>369</v>
      </c>
      <c r="H197">
        <v>71</v>
      </c>
      <c r="I197">
        <v>1987</v>
      </c>
      <c r="J197" t="s">
        <v>703</v>
      </c>
      <c r="K197">
        <v>1033</v>
      </c>
      <c r="L197" s="1">
        <v>32142</v>
      </c>
      <c r="M197" s="1" t="s">
        <v>3165</v>
      </c>
      <c r="N197" t="s">
        <v>1197</v>
      </c>
      <c r="O197" t="s">
        <v>3149</v>
      </c>
    </row>
    <row r="198" spans="1:15" x14ac:dyDescent="0.3">
      <c r="A198" t="s">
        <v>1198</v>
      </c>
      <c r="B198">
        <v>5</v>
      </c>
      <c r="C198" s="1">
        <v>43693</v>
      </c>
      <c r="D198" t="s">
        <v>1199</v>
      </c>
      <c r="E198" t="s">
        <v>1200</v>
      </c>
      <c r="F198" t="s">
        <v>15</v>
      </c>
      <c r="G198" t="s">
        <v>158</v>
      </c>
      <c r="H198">
        <v>98</v>
      </c>
      <c r="I198">
        <v>2000</v>
      </c>
      <c r="J198" t="s">
        <v>421</v>
      </c>
      <c r="K198">
        <v>274975</v>
      </c>
      <c r="L198" s="1">
        <v>36601</v>
      </c>
      <c r="M198" s="1" t="s">
        <v>3165</v>
      </c>
      <c r="N198" t="s">
        <v>1201</v>
      </c>
      <c r="O198" t="s">
        <v>3149</v>
      </c>
    </row>
    <row r="199" spans="1:15" x14ac:dyDescent="0.3">
      <c r="A199" t="s">
        <v>1225</v>
      </c>
      <c r="B199">
        <v>7</v>
      </c>
      <c r="C199" s="1">
        <v>45098</v>
      </c>
      <c r="D199" t="s">
        <v>1226</v>
      </c>
      <c r="E199" t="s">
        <v>1227</v>
      </c>
      <c r="F199" t="s">
        <v>15</v>
      </c>
      <c r="G199" t="s">
        <v>41</v>
      </c>
      <c r="H199">
        <v>127</v>
      </c>
      <c r="I199">
        <v>2001</v>
      </c>
      <c r="J199" t="s">
        <v>1228</v>
      </c>
      <c r="K199">
        <v>296397</v>
      </c>
      <c r="L199" s="1">
        <v>37020</v>
      </c>
      <c r="M199" s="1" t="s">
        <v>3165</v>
      </c>
      <c r="N199" t="s">
        <v>721</v>
      </c>
      <c r="O199" t="s">
        <v>3149</v>
      </c>
    </row>
    <row r="200" spans="1:15" x14ac:dyDescent="0.3">
      <c r="A200" t="s">
        <v>1252</v>
      </c>
      <c r="B200">
        <v>8</v>
      </c>
      <c r="C200" s="1">
        <v>44035</v>
      </c>
      <c r="D200" t="s">
        <v>1253</v>
      </c>
      <c r="E200" t="s">
        <v>1254</v>
      </c>
      <c r="F200" t="s">
        <v>15</v>
      </c>
      <c r="G200" t="s">
        <v>927</v>
      </c>
      <c r="H200">
        <v>113</v>
      </c>
      <c r="I200">
        <v>2000</v>
      </c>
      <c r="J200" t="s">
        <v>370</v>
      </c>
      <c r="K200">
        <v>1302366</v>
      </c>
      <c r="L200" s="1">
        <v>36774</v>
      </c>
      <c r="M200" s="1" t="s">
        <v>3165</v>
      </c>
      <c r="N200" t="s">
        <v>756</v>
      </c>
      <c r="O200" t="s">
        <v>3149</v>
      </c>
    </row>
    <row r="201" spans="1:15" x14ac:dyDescent="0.3">
      <c r="A201" t="s">
        <v>1262</v>
      </c>
      <c r="B201">
        <v>5</v>
      </c>
      <c r="C201" s="1">
        <v>44833</v>
      </c>
      <c r="D201" t="s">
        <v>1263</v>
      </c>
      <c r="E201" t="s">
        <v>1264</v>
      </c>
      <c r="F201" t="s">
        <v>15</v>
      </c>
      <c r="G201" t="s">
        <v>158</v>
      </c>
      <c r="H201">
        <v>82</v>
      </c>
      <c r="I201">
        <v>2000</v>
      </c>
      <c r="J201" t="s">
        <v>17</v>
      </c>
      <c r="K201">
        <v>6850</v>
      </c>
      <c r="L201" s="1">
        <v>36569</v>
      </c>
      <c r="M201" s="1" t="s">
        <v>3155</v>
      </c>
      <c r="N201" t="s">
        <v>183</v>
      </c>
      <c r="O201" t="s">
        <v>3149</v>
      </c>
    </row>
    <row r="202" spans="1:15" x14ac:dyDescent="0.3">
      <c r="A202" t="s">
        <v>1265</v>
      </c>
      <c r="B202">
        <v>8</v>
      </c>
      <c r="C202" s="1">
        <v>44552</v>
      </c>
      <c r="D202" t="s">
        <v>1266</v>
      </c>
      <c r="E202" t="s">
        <v>1267</v>
      </c>
      <c r="F202" t="s">
        <v>15</v>
      </c>
      <c r="G202" t="s">
        <v>187</v>
      </c>
      <c r="H202">
        <v>122</v>
      </c>
      <c r="I202">
        <v>2001</v>
      </c>
      <c r="J202" t="s">
        <v>225</v>
      </c>
      <c r="K202">
        <v>785392</v>
      </c>
      <c r="L202" s="1">
        <v>37006</v>
      </c>
      <c r="M202" s="1" t="s">
        <v>3155</v>
      </c>
      <c r="N202" t="s">
        <v>1268</v>
      </c>
      <c r="O202" t="s">
        <v>3149</v>
      </c>
    </row>
    <row r="203" spans="1:15" x14ac:dyDescent="0.3">
      <c r="A203" t="s">
        <v>1325</v>
      </c>
      <c r="B203">
        <v>6</v>
      </c>
      <c r="C203" s="1">
        <v>45081</v>
      </c>
      <c r="D203" t="s">
        <v>1326</v>
      </c>
      <c r="E203" t="s">
        <v>1327</v>
      </c>
      <c r="F203" t="s">
        <v>15</v>
      </c>
      <c r="G203" t="s">
        <v>41</v>
      </c>
      <c r="H203">
        <v>79</v>
      </c>
      <c r="I203">
        <v>1929</v>
      </c>
      <c r="J203" t="s">
        <v>96</v>
      </c>
      <c r="K203">
        <v>207</v>
      </c>
      <c r="L203" s="1">
        <v>10832</v>
      </c>
      <c r="M203" s="1" t="s">
        <v>3179</v>
      </c>
      <c r="N203" t="s">
        <v>1328</v>
      </c>
      <c r="O203" t="s">
        <v>3149</v>
      </c>
    </row>
    <row r="204" spans="1:15" x14ac:dyDescent="0.3">
      <c r="A204" t="s">
        <v>1349</v>
      </c>
      <c r="B204">
        <v>7</v>
      </c>
      <c r="C204" s="1">
        <v>44824</v>
      </c>
      <c r="D204" t="s">
        <v>1350</v>
      </c>
      <c r="E204" t="s">
        <v>1351</v>
      </c>
      <c r="F204" t="s">
        <v>15</v>
      </c>
      <c r="G204" t="s">
        <v>41</v>
      </c>
      <c r="H204">
        <v>101</v>
      </c>
      <c r="I204">
        <v>2001</v>
      </c>
      <c r="J204" t="s">
        <v>738</v>
      </c>
      <c r="K204">
        <v>387856</v>
      </c>
      <c r="L204" s="1">
        <v>37105</v>
      </c>
      <c r="M204" s="1" t="s">
        <v>3165</v>
      </c>
      <c r="N204" t="s">
        <v>1352</v>
      </c>
      <c r="O204" t="s">
        <v>3149</v>
      </c>
    </row>
    <row r="205" spans="1:15" x14ac:dyDescent="0.3">
      <c r="A205" t="s">
        <v>1371</v>
      </c>
      <c r="B205">
        <v>7</v>
      </c>
      <c r="C205" s="1">
        <v>44922</v>
      </c>
      <c r="D205" t="s">
        <v>1372</v>
      </c>
      <c r="E205" t="s">
        <v>1373</v>
      </c>
      <c r="F205" t="s">
        <v>15</v>
      </c>
      <c r="G205" t="s">
        <v>1170</v>
      </c>
      <c r="H205">
        <v>95</v>
      </c>
      <c r="I205">
        <v>2001</v>
      </c>
      <c r="J205" t="s">
        <v>584</v>
      </c>
      <c r="K205">
        <v>18849</v>
      </c>
      <c r="L205" s="1">
        <v>37142</v>
      </c>
      <c r="M205" s="1" t="s">
        <v>3165</v>
      </c>
      <c r="N205" t="s">
        <v>1374</v>
      </c>
      <c r="O205" t="s">
        <v>3149</v>
      </c>
    </row>
    <row r="206" spans="1:15" x14ac:dyDescent="0.3">
      <c r="A206" t="s">
        <v>1412</v>
      </c>
      <c r="B206">
        <v>5</v>
      </c>
      <c r="C206" s="1">
        <v>44989</v>
      </c>
      <c r="D206" t="s">
        <v>1413</v>
      </c>
      <c r="E206" t="s">
        <v>1414</v>
      </c>
      <c r="F206" t="s">
        <v>15</v>
      </c>
      <c r="G206" t="s">
        <v>73</v>
      </c>
      <c r="H206">
        <v>58</v>
      </c>
      <c r="I206">
        <v>1946</v>
      </c>
      <c r="J206" t="s">
        <v>1410</v>
      </c>
      <c r="K206">
        <v>143</v>
      </c>
      <c r="L206" s="1">
        <v>17136</v>
      </c>
      <c r="M206" s="1" t="s">
        <v>3163</v>
      </c>
      <c r="N206" t="s">
        <v>1415</v>
      </c>
      <c r="O206" t="s">
        <v>3149</v>
      </c>
    </row>
    <row r="207" spans="1:15" x14ac:dyDescent="0.3">
      <c r="A207" t="s">
        <v>1416</v>
      </c>
      <c r="B207">
        <v>6</v>
      </c>
      <c r="C207" s="1">
        <v>45127</v>
      </c>
      <c r="D207" t="s">
        <v>1417</v>
      </c>
      <c r="E207" t="s">
        <v>1418</v>
      </c>
      <c r="F207" t="s">
        <v>15</v>
      </c>
      <c r="G207" t="s">
        <v>84</v>
      </c>
      <c r="H207">
        <v>106</v>
      </c>
      <c r="I207">
        <v>2001</v>
      </c>
      <c r="J207" t="s">
        <v>24</v>
      </c>
      <c r="K207">
        <v>127864</v>
      </c>
      <c r="L207" s="1">
        <v>37050</v>
      </c>
      <c r="M207" s="1" t="s">
        <v>3172</v>
      </c>
      <c r="N207" t="s">
        <v>1419</v>
      </c>
      <c r="O207" t="s">
        <v>3149</v>
      </c>
    </row>
    <row r="208" spans="1:15" x14ac:dyDescent="0.3">
      <c r="A208" t="s">
        <v>1420</v>
      </c>
      <c r="B208">
        <v>7</v>
      </c>
      <c r="C208" s="1">
        <v>44372</v>
      </c>
      <c r="D208" t="s">
        <v>1421</v>
      </c>
      <c r="E208" t="s">
        <v>1422</v>
      </c>
      <c r="F208" t="s">
        <v>15</v>
      </c>
      <c r="G208" t="s">
        <v>29</v>
      </c>
      <c r="H208">
        <v>113</v>
      </c>
      <c r="I208">
        <v>2001</v>
      </c>
      <c r="J208" t="s">
        <v>1423</v>
      </c>
      <c r="K208">
        <v>838526</v>
      </c>
      <c r="L208" s="1">
        <v>36910</v>
      </c>
      <c r="M208" s="1" t="s">
        <v>3165</v>
      </c>
      <c r="N208" t="s">
        <v>1424</v>
      </c>
      <c r="O208" t="s">
        <v>3149</v>
      </c>
    </row>
    <row r="209" spans="1:15" x14ac:dyDescent="0.3">
      <c r="A209" t="s">
        <v>1434</v>
      </c>
      <c r="B209">
        <v>7</v>
      </c>
      <c r="C209" s="1">
        <v>45184</v>
      </c>
      <c r="D209" t="s">
        <v>1435</v>
      </c>
      <c r="E209" t="s">
        <v>1436</v>
      </c>
      <c r="F209" t="s">
        <v>15</v>
      </c>
      <c r="G209" t="s">
        <v>73</v>
      </c>
      <c r="H209">
        <v>96</v>
      </c>
      <c r="I209">
        <v>2001</v>
      </c>
      <c r="J209" t="s">
        <v>225</v>
      </c>
      <c r="K209">
        <v>241156</v>
      </c>
      <c r="L209" s="1">
        <v>37068</v>
      </c>
      <c r="M209" s="1" t="s">
        <v>3165</v>
      </c>
      <c r="N209" t="s">
        <v>1437</v>
      </c>
      <c r="O209" t="s">
        <v>3149</v>
      </c>
    </row>
    <row r="210" spans="1:15" x14ac:dyDescent="0.3">
      <c r="A210" t="s">
        <v>1442</v>
      </c>
      <c r="B210">
        <v>7</v>
      </c>
      <c r="C210" s="1">
        <v>44558</v>
      </c>
      <c r="D210" t="s">
        <v>1443</v>
      </c>
      <c r="E210" t="s">
        <v>1444</v>
      </c>
      <c r="F210" t="s">
        <v>15</v>
      </c>
      <c r="G210" t="s">
        <v>23</v>
      </c>
      <c r="H210">
        <v>150</v>
      </c>
      <c r="I210">
        <v>2002</v>
      </c>
      <c r="J210" t="s">
        <v>1445</v>
      </c>
      <c r="K210">
        <v>893030</v>
      </c>
      <c r="L210" s="1">
        <v>37400</v>
      </c>
      <c r="M210" s="1" t="s">
        <v>3171</v>
      </c>
      <c r="N210" t="s">
        <v>1393</v>
      </c>
      <c r="O210" t="s">
        <v>3149</v>
      </c>
    </row>
    <row r="211" spans="1:15" x14ac:dyDescent="0.3">
      <c r="A211" t="s">
        <v>1451</v>
      </c>
      <c r="B211">
        <v>8</v>
      </c>
      <c r="C211" s="1">
        <v>44399</v>
      </c>
      <c r="D211" t="s">
        <v>1452</v>
      </c>
      <c r="E211" t="s">
        <v>1453</v>
      </c>
      <c r="F211" t="s">
        <v>15</v>
      </c>
      <c r="G211" t="s">
        <v>56</v>
      </c>
      <c r="H211">
        <v>131</v>
      </c>
      <c r="I211">
        <v>2001</v>
      </c>
      <c r="J211" t="s">
        <v>556</v>
      </c>
      <c r="K211">
        <v>70144</v>
      </c>
      <c r="L211" s="1">
        <v>37025</v>
      </c>
      <c r="M211" s="1" t="s">
        <v>3155</v>
      </c>
      <c r="N211" t="s">
        <v>1454</v>
      </c>
      <c r="O211" t="s">
        <v>3149</v>
      </c>
    </row>
    <row r="212" spans="1:15" x14ac:dyDescent="0.3">
      <c r="A212" t="s">
        <v>1494</v>
      </c>
      <c r="B212">
        <v>7</v>
      </c>
      <c r="C212" s="1">
        <v>44201</v>
      </c>
      <c r="D212" t="s">
        <v>1495</v>
      </c>
      <c r="E212" t="s">
        <v>1496</v>
      </c>
      <c r="F212" t="s">
        <v>15</v>
      </c>
      <c r="G212" t="s">
        <v>41</v>
      </c>
      <c r="H212">
        <v>110</v>
      </c>
      <c r="I212">
        <v>2001</v>
      </c>
      <c r="J212" t="s">
        <v>261</v>
      </c>
      <c r="K212">
        <v>309649</v>
      </c>
      <c r="L212" s="1">
        <v>37169</v>
      </c>
      <c r="M212" s="1" t="s">
        <v>3165</v>
      </c>
      <c r="N212" t="s">
        <v>298</v>
      </c>
      <c r="O212" t="s">
        <v>3149</v>
      </c>
    </row>
    <row r="213" spans="1:15" x14ac:dyDescent="0.3">
      <c r="A213" t="s">
        <v>1504</v>
      </c>
      <c r="B213">
        <v>8</v>
      </c>
      <c r="C213" s="1">
        <v>43829</v>
      </c>
      <c r="D213" t="s">
        <v>1505</v>
      </c>
      <c r="E213" t="s">
        <v>1506</v>
      </c>
      <c r="F213" t="s">
        <v>15</v>
      </c>
      <c r="G213" t="s">
        <v>369</v>
      </c>
      <c r="H213">
        <v>111</v>
      </c>
      <c r="I213">
        <v>2003</v>
      </c>
      <c r="J213" t="s">
        <v>676</v>
      </c>
      <c r="K213">
        <v>1172796</v>
      </c>
      <c r="L213" s="1">
        <v>37893</v>
      </c>
      <c r="M213" s="1" t="s">
        <v>3165</v>
      </c>
      <c r="N213" t="s">
        <v>189</v>
      </c>
      <c r="O213" t="s">
        <v>3149</v>
      </c>
    </row>
    <row r="214" spans="1:15" x14ac:dyDescent="0.3">
      <c r="A214" t="s">
        <v>1520</v>
      </c>
      <c r="B214">
        <v>6</v>
      </c>
      <c r="C214" s="1">
        <v>45271</v>
      </c>
      <c r="D214" t="s">
        <v>1521</v>
      </c>
      <c r="E214" t="s">
        <v>1522</v>
      </c>
      <c r="F214" t="s">
        <v>15</v>
      </c>
      <c r="G214" t="s">
        <v>56</v>
      </c>
      <c r="H214">
        <v>110</v>
      </c>
      <c r="I214">
        <v>2002</v>
      </c>
      <c r="J214" t="s">
        <v>42</v>
      </c>
      <c r="K214">
        <v>137378</v>
      </c>
      <c r="L214" s="1">
        <v>37605</v>
      </c>
      <c r="M214" s="1" t="s">
        <v>3171</v>
      </c>
      <c r="N214" t="s">
        <v>1523</v>
      </c>
      <c r="O214" t="s">
        <v>3149</v>
      </c>
    </row>
    <row r="215" spans="1:15" x14ac:dyDescent="0.3">
      <c r="A215" t="s">
        <v>1524</v>
      </c>
      <c r="B215">
        <v>6</v>
      </c>
      <c r="C215" s="1">
        <v>44890</v>
      </c>
      <c r="D215" t="s">
        <v>1525</v>
      </c>
      <c r="E215" t="s">
        <v>1526</v>
      </c>
      <c r="F215" t="s">
        <v>15</v>
      </c>
      <c r="G215" t="s">
        <v>35</v>
      </c>
      <c r="H215">
        <v>107</v>
      </c>
      <c r="I215">
        <v>2002</v>
      </c>
      <c r="J215" t="s">
        <v>17</v>
      </c>
      <c r="K215">
        <v>97046</v>
      </c>
      <c r="L215" s="1">
        <v>37267</v>
      </c>
      <c r="M215" s="1" t="s">
        <v>3165</v>
      </c>
      <c r="N215" t="s">
        <v>1527</v>
      </c>
      <c r="O215" t="s">
        <v>3149</v>
      </c>
    </row>
    <row r="216" spans="1:15" x14ac:dyDescent="0.3">
      <c r="A216" t="s">
        <v>1542</v>
      </c>
      <c r="B216">
        <v>6</v>
      </c>
      <c r="C216" s="1">
        <v>44828</v>
      </c>
      <c r="D216" t="s">
        <v>1543</v>
      </c>
      <c r="E216" t="s">
        <v>1544</v>
      </c>
      <c r="F216" t="s">
        <v>15</v>
      </c>
      <c r="G216" t="s">
        <v>29</v>
      </c>
      <c r="H216">
        <v>178</v>
      </c>
      <c r="I216">
        <v>2003</v>
      </c>
      <c r="J216" t="s">
        <v>325</v>
      </c>
      <c r="K216">
        <v>156676</v>
      </c>
      <c r="L216" s="1">
        <v>37760</v>
      </c>
      <c r="M216" s="1" t="s">
        <v>3188</v>
      </c>
      <c r="N216" t="s">
        <v>914</v>
      </c>
      <c r="O216" t="s">
        <v>3149</v>
      </c>
    </row>
    <row r="217" spans="1:15" x14ac:dyDescent="0.3">
      <c r="A217" t="s">
        <v>1549</v>
      </c>
      <c r="B217">
        <v>7</v>
      </c>
      <c r="C217" s="1">
        <v>44583</v>
      </c>
      <c r="D217" s="3" t="s">
        <v>1550</v>
      </c>
      <c r="E217" t="s">
        <v>1551</v>
      </c>
      <c r="F217" t="s">
        <v>15</v>
      </c>
      <c r="G217" t="s">
        <v>95</v>
      </c>
      <c r="H217">
        <v>111</v>
      </c>
      <c r="I217">
        <v>2002</v>
      </c>
      <c r="J217" t="s">
        <v>1552</v>
      </c>
      <c r="K217">
        <v>34000</v>
      </c>
      <c r="L217" s="1">
        <v>37264</v>
      </c>
      <c r="M217" s="1" t="s">
        <v>3155</v>
      </c>
      <c r="N217" t="s">
        <v>183</v>
      </c>
      <c r="O217" t="s">
        <v>3149</v>
      </c>
    </row>
    <row r="218" spans="1:15" x14ac:dyDescent="0.3">
      <c r="A218" t="s">
        <v>1579</v>
      </c>
      <c r="B218">
        <v>7</v>
      </c>
      <c r="C218" s="1">
        <v>44004</v>
      </c>
      <c r="D218" t="s">
        <v>1580</v>
      </c>
      <c r="E218" t="s">
        <v>1581</v>
      </c>
      <c r="F218" t="s">
        <v>15</v>
      </c>
      <c r="G218" t="s">
        <v>16</v>
      </c>
      <c r="H218">
        <v>97</v>
      </c>
      <c r="I218">
        <v>2002</v>
      </c>
      <c r="J218" t="s">
        <v>409</v>
      </c>
      <c r="K218">
        <v>145114</v>
      </c>
      <c r="L218" s="1">
        <v>37398</v>
      </c>
      <c r="M218" s="1" t="s">
        <v>3155</v>
      </c>
      <c r="N218" t="s">
        <v>118</v>
      </c>
      <c r="O218" t="s">
        <v>3149</v>
      </c>
    </row>
    <row r="219" spans="1:15" x14ac:dyDescent="0.3">
      <c r="A219" t="s">
        <v>1619</v>
      </c>
      <c r="B219">
        <v>7</v>
      </c>
      <c r="C219" s="1">
        <v>45199</v>
      </c>
      <c r="D219" t="s">
        <v>1620</v>
      </c>
      <c r="E219" t="s">
        <v>1621</v>
      </c>
      <c r="F219" t="s">
        <v>15</v>
      </c>
      <c r="G219" t="s">
        <v>16</v>
      </c>
      <c r="H219">
        <v>107</v>
      </c>
      <c r="I219">
        <v>2002</v>
      </c>
      <c r="J219" t="s">
        <v>42</v>
      </c>
      <c r="K219">
        <v>48699</v>
      </c>
      <c r="L219" s="1">
        <v>37501</v>
      </c>
      <c r="M219" s="1" t="s">
        <v>3165</v>
      </c>
      <c r="N219" t="s">
        <v>557</v>
      </c>
      <c r="O219" t="s">
        <v>3149</v>
      </c>
    </row>
    <row r="220" spans="1:15" x14ac:dyDescent="0.3">
      <c r="A220" t="s">
        <v>1622</v>
      </c>
      <c r="B220">
        <v>7</v>
      </c>
      <c r="C220" s="1">
        <v>45152</v>
      </c>
      <c r="D220" t="s">
        <v>1623</v>
      </c>
      <c r="E220" t="s">
        <v>1624</v>
      </c>
      <c r="F220" t="s">
        <v>15</v>
      </c>
      <c r="G220" t="s">
        <v>79</v>
      </c>
      <c r="H220">
        <v>113</v>
      </c>
      <c r="I220">
        <v>2002</v>
      </c>
      <c r="J220" t="s">
        <v>1625</v>
      </c>
      <c r="K220">
        <v>240471</v>
      </c>
      <c r="L220" s="1">
        <v>37600</v>
      </c>
      <c r="M220" s="1" t="s">
        <v>3165</v>
      </c>
      <c r="N220" t="s">
        <v>1626</v>
      </c>
      <c r="O220" t="s">
        <v>3149</v>
      </c>
    </row>
    <row r="221" spans="1:15" x14ac:dyDescent="0.3">
      <c r="A221" t="s">
        <v>1627</v>
      </c>
      <c r="B221">
        <v>7</v>
      </c>
      <c r="C221" s="1">
        <v>44994</v>
      </c>
      <c r="D221" t="s">
        <v>1628</v>
      </c>
      <c r="E221" t="s">
        <v>1629</v>
      </c>
      <c r="F221" t="s">
        <v>15</v>
      </c>
      <c r="G221" t="s">
        <v>84</v>
      </c>
      <c r="H221">
        <v>121</v>
      </c>
      <c r="I221">
        <v>2003</v>
      </c>
      <c r="J221" t="s">
        <v>17</v>
      </c>
      <c r="K221">
        <v>151374</v>
      </c>
      <c r="L221" s="1">
        <v>37661</v>
      </c>
      <c r="M221" s="1" t="s">
        <v>3180</v>
      </c>
      <c r="N221" t="s">
        <v>1630</v>
      </c>
      <c r="O221" t="s">
        <v>3149</v>
      </c>
    </row>
    <row r="222" spans="1:15" x14ac:dyDescent="0.3">
      <c r="A222" t="s">
        <v>1635</v>
      </c>
      <c r="B222">
        <v>6</v>
      </c>
      <c r="C222" s="1">
        <v>45212</v>
      </c>
      <c r="D222" t="s">
        <v>1636</v>
      </c>
      <c r="E222" t="s">
        <v>1637</v>
      </c>
      <c r="F222" t="s">
        <v>15</v>
      </c>
      <c r="G222" t="s">
        <v>73</v>
      </c>
      <c r="H222">
        <v>117</v>
      </c>
      <c r="I222">
        <v>2003</v>
      </c>
      <c r="J222" t="s">
        <v>24</v>
      </c>
      <c r="K222">
        <v>89056</v>
      </c>
      <c r="L222" s="1">
        <v>37974</v>
      </c>
      <c r="M222" s="1" t="s">
        <v>3165</v>
      </c>
      <c r="N222" t="s">
        <v>1638</v>
      </c>
      <c r="O222" t="s">
        <v>3149</v>
      </c>
    </row>
    <row r="223" spans="1:15" x14ac:dyDescent="0.3">
      <c r="A223" t="s">
        <v>1639</v>
      </c>
      <c r="B223">
        <v>6</v>
      </c>
      <c r="C223" s="1">
        <v>43692</v>
      </c>
      <c r="D223" t="s">
        <v>1640</v>
      </c>
      <c r="E223" t="s">
        <v>1641</v>
      </c>
      <c r="F223" t="s">
        <v>15</v>
      </c>
      <c r="G223" t="s">
        <v>1170</v>
      </c>
      <c r="H223">
        <v>90</v>
      </c>
      <c r="I223">
        <v>2003</v>
      </c>
      <c r="J223" t="s">
        <v>421</v>
      </c>
      <c r="K223">
        <v>179359</v>
      </c>
      <c r="L223" s="1">
        <v>37651</v>
      </c>
      <c r="M223" s="1" t="s">
        <v>3165</v>
      </c>
      <c r="N223" t="s">
        <v>422</v>
      </c>
      <c r="O223" t="s">
        <v>3149</v>
      </c>
    </row>
    <row r="224" spans="1:15" x14ac:dyDescent="0.3">
      <c r="A224" t="s">
        <v>1642</v>
      </c>
      <c r="B224">
        <v>7</v>
      </c>
      <c r="C224" s="1">
        <v>44175</v>
      </c>
      <c r="D224" t="s">
        <v>1643</v>
      </c>
      <c r="E224" t="s">
        <v>1644</v>
      </c>
      <c r="F224" t="s">
        <v>15</v>
      </c>
      <c r="G224" t="s">
        <v>198</v>
      </c>
      <c r="H224">
        <v>115</v>
      </c>
      <c r="I224">
        <v>2003</v>
      </c>
      <c r="J224" t="s">
        <v>42</v>
      </c>
      <c r="K224">
        <v>129236</v>
      </c>
      <c r="L224" s="1">
        <v>37865</v>
      </c>
      <c r="M224" s="1" t="s">
        <v>3155</v>
      </c>
      <c r="N224" t="s">
        <v>1645</v>
      </c>
      <c r="O224" t="s">
        <v>3149</v>
      </c>
    </row>
    <row r="225" spans="1:15" x14ac:dyDescent="0.3">
      <c r="A225" t="s">
        <v>1666</v>
      </c>
      <c r="B225">
        <v>5</v>
      </c>
      <c r="C225" s="1">
        <v>44826</v>
      </c>
      <c r="D225" t="s">
        <v>1667</v>
      </c>
      <c r="E225" t="s">
        <v>1668</v>
      </c>
      <c r="F225" t="s">
        <v>15</v>
      </c>
      <c r="G225" t="s">
        <v>1487</v>
      </c>
      <c r="H225">
        <v>152</v>
      </c>
      <c r="I225">
        <v>2002</v>
      </c>
      <c r="J225" t="s">
        <v>1023</v>
      </c>
      <c r="K225">
        <v>229</v>
      </c>
      <c r="L225" s="1">
        <v>37302</v>
      </c>
      <c r="M225" s="1" t="s">
        <v>3154</v>
      </c>
      <c r="N225" t="s">
        <v>822</v>
      </c>
      <c r="O225" t="s">
        <v>3149</v>
      </c>
    </row>
    <row r="226" spans="1:15" x14ac:dyDescent="0.3">
      <c r="A226" t="s">
        <v>1684</v>
      </c>
      <c r="B226">
        <v>5</v>
      </c>
      <c r="C226" s="1">
        <v>45138</v>
      </c>
      <c r="D226" t="s">
        <v>1685</v>
      </c>
      <c r="E226" t="s">
        <v>1686</v>
      </c>
      <c r="F226" t="s">
        <v>15</v>
      </c>
      <c r="G226" t="s">
        <v>61</v>
      </c>
      <c r="H226">
        <v>123</v>
      </c>
      <c r="I226">
        <v>2004</v>
      </c>
      <c r="J226" t="s">
        <v>42</v>
      </c>
      <c r="K226">
        <v>606952</v>
      </c>
      <c r="L226" s="1">
        <v>38127</v>
      </c>
      <c r="M226" s="1" t="s">
        <v>3165</v>
      </c>
      <c r="N226" t="s">
        <v>1687</v>
      </c>
      <c r="O226" t="s">
        <v>3149</v>
      </c>
    </row>
    <row r="227" spans="1:15" x14ac:dyDescent="0.3">
      <c r="A227" t="s">
        <v>1688</v>
      </c>
      <c r="B227">
        <v>7</v>
      </c>
      <c r="C227" s="1">
        <v>44435</v>
      </c>
      <c r="D227" t="s">
        <v>1689</v>
      </c>
      <c r="E227" t="s">
        <v>1690</v>
      </c>
      <c r="F227" t="s">
        <v>15</v>
      </c>
      <c r="G227" t="s">
        <v>84</v>
      </c>
      <c r="H227">
        <v>102</v>
      </c>
      <c r="I227">
        <v>2003</v>
      </c>
      <c r="J227" t="s">
        <v>261</v>
      </c>
      <c r="K227">
        <v>481124</v>
      </c>
      <c r="L227" s="1">
        <v>37862</v>
      </c>
      <c r="M227" s="1" t="s">
        <v>3165</v>
      </c>
      <c r="N227" t="s">
        <v>796</v>
      </c>
      <c r="O227" t="s">
        <v>3175</v>
      </c>
    </row>
    <row r="228" spans="1:15" x14ac:dyDescent="0.3">
      <c r="A228" t="s">
        <v>1695</v>
      </c>
      <c r="B228">
        <v>6</v>
      </c>
      <c r="C228" s="1">
        <v>43848</v>
      </c>
      <c r="D228" t="s">
        <v>1696</v>
      </c>
      <c r="E228" t="s">
        <v>1697</v>
      </c>
      <c r="F228" t="s">
        <v>15</v>
      </c>
      <c r="G228" t="s">
        <v>187</v>
      </c>
      <c r="H228">
        <v>108</v>
      </c>
      <c r="I228">
        <v>2004</v>
      </c>
      <c r="J228" t="s">
        <v>1113</v>
      </c>
      <c r="K228">
        <v>1059204</v>
      </c>
      <c r="L228" s="1">
        <v>38055</v>
      </c>
      <c r="M228" s="1" t="s">
        <v>3165</v>
      </c>
      <c r="N228" t="s">
        <v>1698</v>
      </c>
      <c r="O228" t="s">
        <v>3149</v>
      </c>
    </row>
    <row r="229" spans="1:15" x14ac:dyDescent="0.3">
      <c r="A229" t="s">
        <v>1699</v>
      </c>
      <c r="B229">
        <v>6</v>
      </c>
      <c r="C229" s="1">
        <v>44811</v>
      </c>
      <c r="D229" t="s">
        <v>1700</v>
      </c>
      <c r="E229" t="s">
        <v>1701</v>
      </c>
      <c r="F229" t="s">
        <v>15</v>
      </c>
      <c r="G229" t="s">
        <v>56</v>
      </c>
      <c r="H229">
        <v>170</v>
      </c>
      <c r="I229">
        <v>2004</v>
      </c>
      <c r="J229" t="s">
        <v>574</v>
      </c>
      <c r="K229">
        <v>379710</v>
      </c>
      <c r="L229" s="1">
        <v>38335</v>
      </c>
      <c r="M229" s="1" t="s">
        <v>3165</v>
      </c>
      <c r="N229" t="s">
        <v>371</v>
      </c>
      <c r="O229" t="s">
        <v>3149</v>
      </c>
    </row>
    <row r="230" spans="1:15" x14ac:dyDescent="0.3">
      <c r="A230" t="s">
        <v>1741</v>
      </c>
      <c r="B230">
        <v>7</v>
      </c>
      <c r="C230" s="1">
        <v>44821</v>
      </c>
      <c r="D230" t="s">
        <v>1742</v>
      </c>
      <c r="E230" t="s">
        <v>1743</v>
      </c>
      <c r="F230" t="s">
        <v>15</v>
      </c>
      <c r="G230" t="s">
        <v>73</v>
      </c>
      <c r="H230">
        <v>120</v>
      </c>
      <c r="I230">
        <v>2005</v>
      </c>
      <c r="J230" t="s">
        <v>1744</v>
      </c>
      <c r="K230">
        <v>529401</v>
      </c>
      <c r="L230" s="1">
        <v>38510</v>
      </c>
      <c r="M230" s="1" t="s">
        <v>3165</v>
      </c>
      <c r="N230" t="s">
        <v>1745</v>
      </c>
      <c r="O230" t="s">
        <v>3149</v>
      </c>
    </row>
    <row r="231" spans="1:15" x14ac:dyDescent="0.3">
      <c r="A231" t="s">
        <v>1753</v>
      </c>
      <c r="B231">
        <v>6</v>
      </c>
      <c r="C231" s="1">
        <v>44062</v>
      </c>
      <c r="D231" t="s">
        <v>1754</v>
      </c>
      <c r="E231" t="s">
        <v>1755</v>
      </c>
      <c r="F231" t="s">
        <v>15</v>
      </c>
      <c r="G231" t="s">
        <v>16</v>
      </c>
      <c r="H231">
        <v>114</v>
      </c>
      <c r="I231">
        <v>2013</v>
      </c>
      <c r="J231" t="s">
        <v>1756</v>
      </c>
      <c r="K231">
        <v>335321</v>
      </c>
      <c r="L231" s="1">
        <v>41552</v>
      </c>
      <c r="M231" s="1" t="s">
        <v>3165</v>
      </c>
      <c r="N231" t="s">
        <v>1757</v>
      </c>
      <c r="O231" t="s">
        <v>3149</v>
      </c>
    </row>
    <row r="232" spans="1:15" x14ac:dyDescent="0.3">
      <c r="A232" t="s">
        <v>1762</v>
      </c>
      <c r="B232">
        <v>9</v>
      </c>
      <c r="C232" s="1">
        <v>43824</v>
      </c>
      <c r="D232" t="s">
        <v>1763</v>
      </c>
      <c r="E232" t="s">
        <v>1764</v>
      </c>
      <c r="F232" t="s">
        <v>15</v>
      </c>
      <c r="G232" t="s">
        <v>927</v>
      </c>
      <c r="H232">
        <v>153</v>
      </c>
      <c r="I232">
        <v>2009</v>
      </c>
      <c r="J232" t="s">
        <v>111</v>
      </c>
      <c r="K232">
        <v>1550342</v>
      </c>
      <c r="L232" s="1">
        <v>39953</v>
      </c>
      <c r="M232" s="1" t="s">
        <v>3165</v>
      </c>
      <c r="N232" t="s">
        <v>189</v>
      </c>
      <c r="O232" t="s">
        <v>3149</v>
      </c>
    </row>
    <row r="233" spans="1:15" x14ac:dyDescent="0.3">
      <c r="A233" t="s">
        <v>1769</v>
      </c>
      <c r="B233">
        <v>8</v>
      </c>
      <c r="C233" s="1">
        <v>44652</v>
      </c>
      <c r="D233" t="s">
        <v>1770</v>
      </c>
      <c r="E233" t="s">
        <v>1771</v>
      </c>
      <c r="F233" t="s">
        <v>15</v>
      </c>
      <c r="G233" t="s">
        <v>369</v>
      </c>
      <c r="H233">
        <v>156</v>
      </c>
      <c r="I233">
        <v>2004</v>
      </c>
      <c r="J233" t="s">
        <v>1772</v>
      </c>
      <c r="K233">
        <v>370467</v>
      </c>
      <c r="L233" s="1">
        <v>38238</v>
      </c>
      <c r="M233" s="1" t="s">
        <v>3180</v>
      </c>
      <c r="N233" t="s">
        <v>1773</v>
      </c>
      <c r="O233" t="s">
        <v>3149</v>
      </c>
    </row>
    <row r="234" spans="1:15" x14ac:dyDescent="0.3">
      <c r="A234" t="s">
        <v>1789</v>
      </c>
      <c r="B234">
        <v>5</v>
      </c>
      <c r="C234" s="1">
        <v>45072</v>
      </c>
      <c r="D234" t="s">
        <v>1790</v>
      </c>
      <c r="E234" t="s">
        <v>1791</v>
      </c>
      <c r="F234" t="s">
        <v>15</v>
      </c>
      <c r="G234" t="s">
        <v>95</v>
      </c>
      <c r="H234">
        <v>96</v>
      </c>
      <c r="I234">
        <v>2004</v>
      </c>
      <c r="J234" t="s">
        <v>235</v>
      </c>
      <c r="K234">
        <v>233840</v>
      </c>
      <c r="L234" s="1">
        <v>38003</v>
      </c>
      <c r="M234" s="1" t="s">
        <v>3165</v>
      </c>
      <c r="N234" t="s">
        <v>1792</v>
      </c>
      <c r="O234" t="s">
        <v>3149</v>
      </c>
    </row>
    <row r="235" spans="1:15" x14ac:dyDescent="0.3">
      <c r="A235" t="s">
        <v>1793</v>
      </c>
      <c r="B235">
        <v>7</v>
      </c>
      <c r="C235" s="1">
        <v>44603</v>
      </c>
      <c r="D235" t="s">
        <v>1794</v>
      </c>
      <c r="E235" t="s">
        <v>1795</v>
      </c>
      <c r="F235" t="s">
        <v>15</v>
      </c>
      <c r="G235" t="s">
        <v>79</v>
      </c>
      <c r="H235">
        <v>104</v>
      </c>
      <c r="I235">
        <v>2004</v>
      </c>
      <c r="J235" t="s">
        <v>42</v>
      </c>
      <c r="K235">
        <v>233190</v>
      </c>
      <c r="L235" s="1">
        <v>38313</v>
      </c>
      <c r="M235" s="1" t="s">
        <v>3165</v>
      </c>
      <c r="N235" t="s">
        <v>1796</v>
      </c>
      <c r="O235" t="s">
        <v>3149</v>
      </c>
    </row>
    <row r="236" spans="1:15" x14ac:dyDescent="0.3">
      <c r="A236" t="s">
        <v>1805</v>
      </c>
      <c r="B236">
        <v>7</v>
      </c>
      <c r="C236" s="1">
        <v>43831</v>
      </c>
      <c r="D236" t="s">
        <v>1806</v>
      </c>
      <c r="E236" t="s">
        <v>1807</v>
      </c>
      <c r="F236" t="s">
        <v>15</v>
      </c>
      <c r="G236" t="s">
        <v>29</v>
      </c>
      <c r="H236">
        <v>137</v>
      </c>
      <c r="I236">
        <v>2004</v>
      </c>
      <c r="J236" t="s">
        <v>676</v>
      </c>
      <c r="K236">
        <v>792854</v>
      </c>
      <c r="L236" s="1">
        <v>38085</v>
      </c>
      <c r="M236" s="1" t="s">
        <v>3165</v>
      </c>
      <c r="N236" t="s">
        <v>189</v>
      </c>
      <c r="O236" t="s">
        <v>3149</v>
      </c>
    </row>
    <row r="237" spans="1:15" x14ac:dyDescent="0.3">
      <c r="A237" t="s">
        <v>1816</v>
      </c>
      <c r="B237">
        <v>7</v>
      </c>
      <c r="C237" s="1">
        <v>45026</v>
      </c>
      <c r="D237" t="s">
        <v>1817</v>
      </c>
      <c r="E237" t="s">
        <v>1818</v>
      </c>
      <c r="F237" t="s">
        <v>15</v>
      </c>
      <c r="G237" t="s">
        <v>334</v>
      </c>
      <c r="H237">
        <v>80</v>
      </c>
      <c r="I237">
        <v>2004</v>
      </c>
      <c r="J237" t="s">
        <v>42</v>
      </c>
      <c r="K237">
        <v>283067</v>
      </c>
      <c r="L237" s="1">
        <v>38027</v>
      </c>
      <c r="M237" s="1" t="s">
        <v>3165</v>
      </c>
      <c r="N237" t="s">
        <v>342</v>
      </c>
      <c r="O237" t="s">
        <v>3149</v>
      </c>
    </row>
    <row r="238" spans="1:15" x14ac:dyDescent="0.3">
      <c r="A238" t="s">
        <v>1823</v>
      </c>
      <c r="B238">
        <v>8</v>
      </c>
      <c r="C238" s="1">
        <v>45257</v>
      </c>
      <c r="D238" t="s">
        <v>1824</v>
      </c>
      <c r="E238" t="s">
        <v>1825</v>
      </c>
      <c r="F238" t="s">
        <v>15</v>
      </c>
      <c r="G238" t="s">
        <v>334</v>
      </c>
      <c r="H238">
        <v>111</v>
      </c>
      <c r="I238">
        <v>2007</v>
      </c>
      <c r="J238" t="s">
        <v>1826</v>
      </c>
      <c r="K238">
        <v>803303</v>
      </c>
      <c r="L238" s="1">
        <v>39255</v>
      </c>
      <c r="M238" s="1" t="s">
        <v>3165</v>
      </c>
      <c r="N238" t="s">
        <v>1827</v>
      </c>
      <c r="O238" t="s">
        <v>3149</v>
      </c>
    </row>
    <row r="239" spans="1:15" x14ac:dyDescent="0.3">
      <c r="A239" t="s">
        <v>1838</v>
      </c>
      <c r="B239">
        <v>7</v>
      </c>
      <c r="C239" s="1">
        <v>45146</v>
      </c>
      <c r="D239" t="s">
        <v>1839</v>
      </c>
      <c r="E239" t="s">
        <v>1840</v>
      </c>
      <c r="F239" t="s">
        <v>15</v>
      </c>
      <c r="G239" t="s">
        <v>84</v>
      </c>
      <c r="H239">
        <v>145</v>
      </c>
      <c r="I239">
        <v>2006</v>
      </c>
      <c r="J239" t="s">
        <v>1841</v>
      </c>
      <c r="K239">
        <v>79802</v>
      </c>
      <c r="L239" s="1">
        <v>38961</v>
      </c>
      <c r="M239" s="1" t="s">
        <v>3164</v>
      </c>
      <c r="N239" t="s">
        <v>179</v>
      </c>
      <c r="O239" t="s">
        <v>3149</v>
      </c>
    </row>
    <row r="240" spans="1:15" x14ac:dyDescent="0.3">
      <c r="A240" t="s">
        <v>1842</v>
      </c>
      <c r="B240">
        <v>3</v>
      </c>
      <c r="C240" s="1">
        <v>44123</v>
      </c>
      <c r="D240" t="s">
        <v>1843</v>
      </c>
      <c r="E240" t="s">
        <v>1844</v>
      </c>
      <c r="F240" t="s">
        <v>15</v>
      </c>
      <c r="G240" t="s">
        <v>158</v>
      </c>
      <c r="H240">
        <v>77</v>
      </c>
      <c r="I240">
        <v>2004</v>
      </c>
      <c r="J240" t="s">
        <v>1845</v>
      </c>
      <c r="K240">
        <v>112773</v>
      </c>
      <c r="L240" s="1">
        <v>38002</v>
      </c>
      <c r="M240" s="1" t="s">
        <v>3165</v>
      </c>
      <c r="N240" t="s">
        <v>1846</v>
      </c>
      <c r="O240" t="s">
        <v>3149</v>
      </c>
    </row>
    <row r="241" spans="1:15" x14ac:dyDescent="0.3">
      <c r="A241" t="s">
        <v>1869</v>
      </c>
      <c r="B241">
        <v>6</v>
      </c>
      <c r="C241" s="1">
        <v>44789</v>
      </c>
      <c r="D241" t="s">
        <v>1870</v>
      </c>
      <c r="E241" t="s">
        <v>1871</v>
      </c>
      <c r="F241" t="s">
        <v>15</v>
      </c>
      <c r="G241" t="s">
        <v>148</v>
      </c>
      <c r="H241">
        <v>106</v>
      </c>
      <c r="I241">
        <v>2005</v>
      </c>
      <c r="J241" t="s">
        <v>261</v>
      </c>
      <c r="K241">
        <v>59608</v>
      </c>
      <c r="L241" s="1">
        <v>38598</v>
      </c>
      <c r="M241" s="1" t="s">
        <v>3165</v>
      </c>
      <c r="N241" t="s">
        <v>1872</v>
      </c>
      <c r="O241" t="s">
        <v>3149</v>
      </c>
    </row>
    <row r="242" spans="1:15" x14ac:dyDescent="0.3">
      <c r="A242" t="s">
        <v>1878</v>
      </c>
      <c r="B242">
        <v>7</v>
      </c>
      <c r="C242" s="1">
        <v>45258</v>
      </c>
      <c r="D242" t="s">
        <v>1879</v>
      </c>
      <c r="E242" t="s">
        <v>1880</v>
      </c>
      <c r="F242" t="s">
        <v>708</v>
      </c>
      <c r="G242" t="s">
        <v>41</v>
      </c>
      <c r="H242">
        <v>71</v>
      </c>
      <c r="I242">
        <v>2003</v>
      </c>
      <c r="J242" t="s">
        <v>96</v>
      </c>
      <c r="K242">
        <v>76</v>
      </c>
      <c r="L242" s="1">
        <v>37986</v>
      </c>
      <c r="M242" s="1" t="s">
        <v>3191</v>
      </c>
      <c r="N242" t="s">
        <v>1881</v>
      </c>
      <c r="O242" t="s">
        <v>3149</v>
      </c>
    </row>
    <row r="243" spans="1:15" x14ac:dyDescent="0.3">
      <c r="A243" t="s">
        <v>1882</v>
      </c>
      <c r="B243">
        <v>7</v>
      </c>
      <c r="C243" s="1">
        <v>44939</v>
      </c>
      <c r="D243" t="s">
        <v>1883</v>
      </c>
      <c r="E243" t="s">
        <v>1884</v>
      </c>
      <c r="F243" t="s">
        <v>15</v>
      </c>
      <c r="G243" t="s">
        <v>23</v>
      </c>
      <c r="H243">
        <v>151</v>
      </c>
      <c r="I243">
        <v>2006</v>
      </c>
      <c r="J243" t="s">
        <v>123</v>
      </c>
      <c r="K243">
        <v>1399031</v>
      </c>
      <c r="L243" s="1">
        <v>38986</v>
      </c>
      <c r="M243" s="1" t="s">
        <v>3165</v>
      </c>
      <c r="N243" t="s">
        <v>371</v>
      </c>
      <c r="O243" t="s">
        <v>3149</v>
      </c>
    </row>
    <row r="244" spans="1:15" x14ac:dyDescent="0.3">
      <c r="A244" t="s">
        <v>1885</v>
      </c>
      <c r="B244">
        <v>6</v>
      </c>
      <c r="C244" s="1">
        <v>45179</v>
      </c>
      <c r="D244" t="s">
        <v>1886</v>
      </c>
      <c r="E244" t="s">
        <v>1887</v>
      </c>
      <c r="F244" t="s">
        <v>15</v>
      </c>
      <c r="G244" t="s">
        <v>79</v>
      </c>
      <c r="H244">
        <v>100</v>
      </c>
      <c r="I244">
        <v>2005</v>
      </c>
      <c r="J244" t="s">
        <v>261</v>
      </c>
      <c r="K244">
        <v>1709</v>
      </c>
      <c r="L244" s="1">
        <v>38400</v>
      </c>
      <c r="M244" s="1" t="s">
        <v>3201</v>
      </c>
      <c r="N244" t="s">
        <v>1888</v>
      </c>
      <c r="O244" t="s">
        <v>3149</v>
      </c>
    </row>
    <row r="245" spans="1:15" x14ac:dyDescent="0.3">
      <c r="A245" t="s">
        <v>1892</v>
      </c>
      <c r="B245">
        <v>6</v>
      </c>
      <c r="C245" s="1">
        <v>44037</v>
      </c>
      <c r="D245" t="s">
        <v>1893</v>
      </c>
      <c r="E245" t="s">
        <v>1894</v>
      </c>
      <c r="F245" t="s">
        <v>15</v>
      </c>
      <c r="G245" t="s">
        <v>198</v>
      </c>
      <c r="H245">
        <v>106</v>
      </c>
      <c r="I245">
        <v>2005</v>
      </c>
      <c r="J245" t="s">
        <v>1895</v>
      </c>
      <c r="K245">
        <v>106066</v>
      </c>
      <c r="L245" s="1">
        <v>38489</v>
      </c>
      <c r="M245" s="1" t="s">
        <v>3165</v>
      </c>
      <c r="N245" t="s">
        <v>1082</v>
      </c>
      <c r="O245" t="s">
        <v>3149</v>
      </c>
    </row>
    <row r="246" spans="1:15" x14ac:dyDescent="0.3">
      <c r="A246" t="s">
        <v>1896</v>
      </c>
      <c r="B246">
        <v>5</v>
      </c>
      <c r="C246" s="1">
        <v>45082</v>
      </c>
      <c r="D246" t="s">
        <v>1897</v>
      </c>
      <c r="E246" t="s">
        <v>1898</v>
      </c>
      <c r="F246" t="s">
        <v>15</v>
      </c>
      <c r="G246" t="s">
        <v>61</v>
      </c>
      <c r="H246">
        <v>129</v>
      </c>
      <c r="I246">
        <v>2005</v>
      </c>
      <c r="J246" t="s">
        <v>42</v>
      </c>
      <c r="K246">
        <v>322836</v>
      </c>
      <c r="L246" s="1">
        <v>38558</v>
      </c>
      <c r="M246" s="1" t="s">
        <v>3171</v>
      </c>
      <c r="N246" t="s">
        <v>1899</v>
      </c>
      <c r="O246" t="s">
        <v>3149</v>
      </c>
    </row>
    <row r="247" spans="1:15" x14ac:dyDescent="0.3">
      <c r="A247" t="s">
        <v>1900</v>
      </c>
      <c r="B247">
        <v>5</v>
      </c>
      <c r="C247" s="1">
        <v>43693</v>
      </c>
      <c r="D247" t="s">
        <v>1901</v>
      </c>
      <c r="E247" t="s">
        <v>1902</v>
      </c>
      <c r="F247" t="s">
        <v>15</v>
      </c>
      <c r="G247" t="s">
        <v>1008</v>
      </c>
      <c r="H247">
        <v>93</v>
      </c>
      <c r="I247">
        <v>2006</v>
      </c>
      <c r="J247" t="s">
        <v>421</v>
      </c>
      <c r="K247">
        <v>151764</v>
      </c>
      <c r="L247" s="1">
        <v>38750</v>
      </c>
      <c r="M247" s="1" t="s">
        <v>3165</v>
      </c>
      <c r="N247" t="s">
        <v>1201</v>
      </c>
      <c r="O247" t="s">
        <v>3149</v>
      </c>
    </row>
    <row r="248" spans="1:15" x14ac:dyDescent="0.3">
      <c r="A248" t="s">
        <v>1903</v>
      </c>
      <c r="B248">
        <v>6</v>
      </c>
      <c r="C248" s="1">
        <v>45013</v>
      </c>
      <c r="D248" t="s">
        <v>1904</v>
      </c>
      <c r="E248" t="s">
        <v>1905</v>
      </c>
      <c r="F248" t="s">
        <v>15</v>
      </c>
      <c r="G248" t="s">
        <v>79</v>
      </c>
      <c r="H248">
        <v>97</v>
      </c>
      <c r="I248">
        <v>2006</v>
      </c>
      <c r="J248" t="s">
        <v>1906</v>
      </c>
      <c r="K248">
        <v>247034</v>
      </c>
      <c r="L248" s="1">
        <v>38964</v>
      </c>
      <c r="M248" s="1" t="s">
        <v>3165</v>
      </c>
      <c r="N248" t="s">
        <v>760</v>
      </c>
      <c r="O248" t="s">
        <v>3149</v>
      </c>
    </row>
    <row r="249" spans="1:15" x14ac:dyDescent="0.3">
      <c r="A249" t="s">
        <v>1915</v>
      </c>
      <c r="B249">
        <v>7</v>
      </c>
      <c r="C249" s="1">
        <v>44961</v>
      </c>
      <c r="D249" t="s">
        <v>1916</v>
      </c>
      <c r="E249" t="s">
        <v>1917</v>
      </c>
      <c r="F249" t="s">
        <v>15</v>
      </c>
      <c r="G249" t="s">
        <v>198</v>
      </c>
      <c r="H249">
        <v>81</v>
      </c>
      <c r="I249">
        <v>2005</v>
      </c>
      <c r="J249" t="s">
        <v>24</v>
      </c>
      <c r="K249">
        <v>9207</v>
      </c>
      <c r="L249" s="1">
        <v>38488</v>
      </c>
      <c r="M249" s="1" t="s">
        <v>3155</v>
      </c>
      <c r="N249" t="s">
        <v>183</v>
      </c>
      <c r="O249" t="s">
        <v>3149</v>
      </c>
    </row>
    <row r="250" spans="1:15" x14ac:dyDescent="0.3">
      <c r="A250" t="s">
        <v>1922</v>
      </c>
      <c r="B250">
        <v>8</v>
      </c>
      <c r="C250" s="1">
        <v>44557</v>
      </c>
      <c r="D250" t="s">
        <v>1923</v>
      </c>
      <c r="E250" t="s">
        <v>1924</v>
      </c>
      <c r="F250" t="s">
        <v>15</v>
      </c>
      <c r="G250" t="s">
        <v>41</v>
      </c>
      <c r="H250">
        <v>122</v>
      </c>
      <c r="I250">
        <v>2007</v>
      </c>
      <c r="J250" t="s">
        <v>74</v>
      </c>
      <c r="K250">
        <v>67977</v>
      </c>
      <c r="L250" s="1">
        <v>39219</v>
      </c>
      <c r="M250" s="1" t="s">
        <v>3171</v>
      </c>
      <c r="N250" t="s">
        <v>1925</v>
      </c>
      <c r="O250" t="s">
        <v>3149</v>
      </c>
    </row>
    <row r="251" spans="1:15" x14ac:dyDescent="0.3">
      <c r="A251" t="s">
        <v>1926</v>
      </c>
      <c r="B251">
        <v>7</v>
      </c>
      <c r="C251" s="1">
        <v>44822</v>
      </c>
      <c r="D251" t="s">
        <v>1927</v>
      </c>
      <c r="E251" t="s">
        <v>1928</v>
      </c>
      <c r="F251" t="s">
        <v>15</v>
      </c>
      <c r="G251" t="s">
        <v>61</v>
      </c>
      <c r="H251">
        <v>166</v>
      </c>
      <c r="I251">
        <v>2008</v>
      </c>
      <c r="J251" t="s">
        <v>1028</v>
      </c>
      <c r="K251">
        <v>685651</v>
      </c>
      <c r="L251" s="1">
        <v>39792</v>
      </c>
      <c r="M251" s="1" t="s">
        <v>3165</v>
      </c>
      <c r="N251" t="s">
        <v>205</v>
      </c>
      <c r="O251" t="s">
        <v>3149</v>
      </c>
    </row>
    <row r="252" spans="1:15" x14ac:dyDescent="0.3">
      <c r="A252" t="s">
        <v>1929</v>
      </c>
      <c r="B252">
        <v>7</v>
      </c>
      <c r="C252" s="1">
        <v>44629</v>
      </c>
      <c r="D252" t="s">
        <v>1930</v>
      </c>
      <c r="E252" t="s">
        <v>1931</v>
      </c>
      <c r="F252" t="s">
        <v>15</v>
      </c>
      <c r="G252" t="s">
        <v>73</v>
      </c>
      <c r="H252">
        <v>123</v>
      </c>
      <c r="I252">
        <v>2006</v>
      </c>
      <c r="J252" t="s">
        <v>1850</v>
      </c>
      <c r="K252">
        <v>119357</v>
      </c>
      <c r="L252" s="1">
        <v>38861</v>
      </c>
      <c r="M252" s="1" t="s">
        <v>3165</v>
      </c>
      <c r="N252" t="s">
        <v>796</v>
      </c>
      <c r="O252" t="s">
        <v>3175</v>
      </c>
    </row>
    <row r="253" spans="1:15" x14ac:dyDescent="0.3">
      <c r="A253" t="s">
        <v>1940</v>
      </c>
      <c r="B253">
        <v>7</v>
      </c>
      <c r="C253" s="1">
        <v>44721</v>
      </c>
      <c r="D253" t="s">
        <v>1941</v>
      </c>
      <c r="E253" t="s">
        <v>1942</v>
      </c>
      <c r="F253" t="s">
        <v>15</v>
      </c>
      <c r="G253" t="s">
        <v>56</v>
      </c>
      <c r="H253">
        <v>92</v>
      </c>
      <c r="I253">
        <v>2005</v>
      </c>
      <c r="J253" t="s">
        <v>261</v>
      </c>
      <c r="K253">
        <v>227507</v>
      </c>
      <c r="L253" s="1">
        <v>38604</v>
      </c>
      <c r="M253" s="1" t="s">
        <v>3165</v>
      </c>
      <c r="N253" t="s">
        <v>1943</v>
      </c>
      <c r="O253" t="s">
        <v>3149</v>
      </c>
    </row>
    <row r="254" spans="1:15" x14ac:dyDescent="0.3">
      <c r="A254" t="s">
        <v>1949</v>
      </c>
      <c r="B254">
        <v>7</v>
      </c>
      <c r="C254" s="1">
        <v>45204</v>
      </c>
      <c r="D254" t="s">
        <v>1950</v>
      </c>
      <c r="E254" t="s">
        <v>1951</v>
      </c>
      <c r="F254" t="s">
        <v>15</v>
      </c>
      <c r="G254" t="s">
        <v>143</v>
      </c>
      <c r="H254">
        <v>87</v>
      </c>
      <c r="I254">
        <v>2009</v>
      </c>
      <c r="J254" t="s">
        <v>1952</v>
      </c>
      <c r="K254">
        <v>263434</v>
      </c>
      <c r="L254" s="1">
        <v>40100</v>
      </c>
      <c r="M254" s="1" t="s">
        <v>3165</v>
      </c>
      <c r="N254" t="s">
        <v>298</v>
      </c>
      <c r="O254" t="s">
        <v>3149</v>
      </c>
    </row>
    <row r="255" spans="1:15" x14ac:dyDescent="0.3">
      <c r="A255" t="s">
        <v>1975</v>
      </c>
      <c r="B255">
        <v>7</v>
      </c>
      <c r="C255" s="1">
        <v>44121</v>
      </c>
      <c r="D255" t="s">
        <v>1976</v>
      </c>
      <c r="E255" t="s">
        <v>1977</v>
      </c>
      <c r="F255" t="s">
        <v>15</v>
      </c>
      <c r="G255" t="s">
        <v>148</v>
      </c>
      <c r="H255">
        <v>84</v>
      </c>
      <c r="I255">
        <v>2006</v>
      </c>
      <c r="J255" t="s">
        <v>235</v>
      </c>
      <c r="K255">
        <v>435060</v>
      </c>
      <c r="L255" s="1">
        <v>38933</v>
      </c>
      <c r="M255" s="1" t="s">
        <v>3165</v>
      </c>
      <c r="N255" t="s">
        <v>1012</v>
      </c>
      <c r="O255" t="s">
        <v>3149</v>
      </c>
    </row>
    <row r="256" spans="1:15" x14ac:dyDescent="0.3">
      <c r="A256" t="s">
        <v>1978</v>
      </c>
      <c r="B256">
        <v>7</v>
      </c>
      <c r="C256" s="1">
        <v>45275</v>
      </c>
      <c r="D256" t="s">
        <v>1979</v>
      </c>
      <c r="E256" t="s">
        <v>1980</v>
      </c>
      <c r="F256" t="s">
        <v>15</v>
      </c>
      <c r="G256" t="s">
        <v>84</v>
      </c>
      <c r="H256">
        <v>157</v>
      </c>
      <c r="I256">
        <v>2007</v>
      </c>
      <c r="J256" t="s">
        <v>409</v>
      </c>
      <c r="K256">
        <v>585386</v>
      </c>
      <c r="L256" s="1">
        <v>39141</v>
      </c>
      <c r="M256" s="1" t="s">
        <v>3165</v>
      </c>
      <c r="N256" t="s">
        <v>205</v>
      </c>
      <c r="O256" t="s">
        <v>3149</v>
      </c>
    </row>
    <row r="257" spans="1:15" x14ac:dyDescent="0.3">
      <c r="A257" t="s">
        <v>1981</v>
      </c>
      <c r="B257">
        <v>5</v>
      </c>
      <c r="C257" s="1">
        <v>44592</v>
      </c>
      <c r="D257" t="s">
        <v>1982</v>
      </c>
      <c r="E257" t="s">
        <v>1983</v>
      </c>
      <c r="F257" t="s">
        <v>15</v>
      </c>
      <c r="G257" t="s">
        <v>67</v>
      </c>
      <c r="H257">
        <v>183</v>
      </c>
      <c r="I257">
        <v>2005</v>
      </c>
      <c r="J257" t="s">
        <v>42</v>
      </c>
      <c r="K257">
        <v>2965</v>
      </c>
      <c r="L257" s="1">
        <v>38598</v>
      </c>
      <c r="M257" s="1" t="s">
        <v>3155</v>
      </c>
      <c r="N257" t="s">
        <v>1441</v>
      </c>
      <c r="O257" t="s">
        <v>3149</v>
      </c>
    </row>
    <row r="258" spans="1:15" x14ac:dyDescent="0.3">
      <c r="A258" t="s">
        <v>1984</v>
      </c>
      <c r="B258">
        <v>7</v>
      </c>
      <c r="C258" s="1">
        <v>45142</v>
      </c>
      <c r="D258" t="s">
        <v>1985</v>
      </c>
      <c r="E258" t="s">
        <v>1986</v>
      </c>
      <c r="F258" t="s">
        <v>15</v>
      </c>
      <c r="G258" t="s">
        <v>41</v>
      </c>
      <c r="H258">
        <v>112</v>
      </c>
      <c r="I258">
        <v>2010</v>
      </c>
      <c r="J258" t="s">
        <v>1987</v>
      </c>
      <c r="K258">
        <v>458740</v>
      </c>
      <c r="L258" s="1">
        <v>40386</v>
      </c>
      <c r="M258" s="1" t="s">
        <v>3165</v>
      </c>
      <c r="N258" t="s">
        <v>1988</v>
      </c>
      <c r="O258" t="s">
        <v>3149</v>
      </c>
    </row>
    <row r="259" spans="1:15" x14ac:dyDescent="0.3">
      <c r="A259" t="s">
        <v>1989</v>
      </c>
      <c r="B259">
        <v>8</v>
      </c>
      <c r="C259" s="1">
        <v>44201</v>
      </c>
      <c r="D259" t="s">
        <v>1990</v>
      </c>
      <c r="E259" t="s">
        <v>1991</v>
      </c>
      <c r="F259" t="s">
        <v>15</v>
      </c>
      <c r="G259" t="s">
        <v>61</v>
      </c>
      <c r="H259">
        <v>101</v>
      </c>
      <c r="I259">
        <v>2006</v>
      </c>
      <c r="J259" t="s">
        <v>261</v>
      </c>
      <c r="K259">
        <v>509662</v>
      </c>
      <c r="L259" s="1">
        <v>38737</v>
      </c>
      <c r="M259" s="1" t="s">
        <v>3165</v>
      </c>
      <c r="N259" t="s">
        <v>1992</v>
      </c>
      <c r="O259" t="s">
        <v>3149</v>
      </c>
    </row>
    <row r="260" spans="1:15" x14ac:dyDescent="0.3">
      <c r="A260" t="s">
        <v>1993</v>
      </c>
      <c r="B260">
        <v>7</v>
      </c>
      <c r="C260" s="1">
        <v>44918</v>
      </c>
      <c r="D260" t="s">
        <v>1994</v>
      </c>
      <c r="E260" t="s">
        <v>1995</v>
      </c>
      <c r="F260" t="s">
        <v>15</v>
      </c>
      <c r="G260" t="s">
        <v>41</v>
      </c>
      <c r="H260">
        <v>140</v>
      </c>
      <c r="I260">
        <v>2007</v>
      </c>
      <c r="J260" t="s">
        <v>1301</v>
      </c>
      <c r="K260">
        <v>90075</v>
      </c>
      <c r="L260" s="1">
        <v>39121</v>
      </c>
      <c r="M260" s="1" t="s">
        <v>3155</v>
      </c>
      <c r="N260" t="s">
        <v>1996</v>
      </c>
      <c r="O260" t="s">
        <v>3149</v>
      </c>
    </row>
    <row r="261" spans="1:15" x14ac:dyDescent="0.3">
      <c r="A261" t="s">
        <v>2004</v>
      </c>
      <c r="B261">
        <v>7</v>
      </c>
      <c r="C261" s="1">
        <v>45203</v>
      </c>
      <c r="D261" t="s">
        <v>2005</v>
      </c>
      <c r="E261" t="s">
        <v>2006</v>
      </c>
      <c r="F261" t="s">
        <v>15</v>
      </c>
      <c r="G261" t="s">
        <v>369</v>
      </c>
      <c r="H261">
        <v>118</v>
      </c>
      <c r="I261">
        <v>2006</v>
      </c>
      <c r="J261" t="s">
        <v>2007</v>
      </c>
      <c r="K261">
        <v>695273</v>
      </c>
      <c r="L261" s="1">
        <v>38864</v>
      </c>
      <c r="M261" s="1" t="s">
        <v>3172</v>
      </c>
      <c r="N261" t="s">
        <v>2008</v>
      </c>
      <c r="O261" t="s">
        <v>3149</v>
      </c>
    </row>
    <row r="262" spans="1:15" x14ac:dyDescent="0.3">
      <c r="A262" t="s">
        <v>2041</v>
      </c>
      <c r="B262">
        <v>8</v>
      </c>
      <c r="C262" s="1">
        <v>43689</v>
      </c>
      <c r="D262" t="s">
        <v>2042</v>
      </c>
      <c r="E262" t="s">
        <v>2043</v>
      </c>
      <c r="F262" t="s">
        <v>15</v>
      </c>
      <c r="G262" t="s">
        <v>2044</v>
      </c>
      <c r="H262">
        <v>95</v>
      </c>
      <c r="I262">
        <v>2006</v>
      </c>
      <c r="J262" t="s">
        <v>2045</v>
      </c>
      <c r="K262">
        <v>19757</v>
      </c>
      <c r="L262" s="1">
        <v>38908</v>
      </c>
      <c r="M262" s="1" t="s">
        <v>3180</v>
      </c>
      <c r="N262" t="s">
        <v>2046</v>
      </c>
      <c r="O262" t="s">
        <v>3149</v>
      </c>
    </row>
    <row r="263" spans="1:15" x14ac:dyDescent="0.3">
      <c r="A263" t="s">
        <v>2059</v>
      </c>
      <c r="B263">
        <v>7</v>
      </c>
      <c r="C263" s="1">
        <v>44203</v>
      </c>
      <c r="D263" t="s">
        <v>2060</v>
      </c>
      <c r="E263" t="s">
        <v>2061</v>
      </c>
      <c r="F263" t="s">
        <v>15</v>
      </c>
      <c r="G263" t="s">
        <v>23</v>
      </c>
      <c r="H263">
        <v>130</v>
      </c>
      <c r="I263">
        <v>2006</v>
      </c>
      <c r="J263" t="s">
        <v>1423</v>
      </c>
      <c r="K263">
        <v>1415721</v>
      </c>
      <c r="L263" s="1">
        <v>39007</v>
      </c>
      <c r="M263" s="1" t="s">
        <v>3165</v>
      </c>
      <c r="N263" t="s">
        <v>756</v>
      </c>
      <c r="O263" t="s">
        <v>3149</v>
      </c>
    </row>
    <row r="264" spans="1:15" x14ac:dyDescent="0.3">
      <c r="A264" t="s">
        <v>2076</v>
      </c>
      <c r="B264">
        <v>6</v>
      </c>
      <c r="C264" s="1">
        <v>45140</v>
      </c>
      <c r="D264" t="s">
        <v>2077</v>
      </c>
      <c r="E264" t="s">
        <v>2078</v>
      </c>
      <c r="F264" t="s">
        <v>15</v>
      </c>
      <c r="G264" t="s">
        <v>79</v>
      </c>
      <c r="H264">
        <v>113</v>
      </c>
      <c r="I264">
        <v>2007</v>
      </c>
      <c r="J264" t="s">
        <v>123</v>
      </c>
      <c r="K264">
        <v>215942</v>
      </c>
      <c r="L264" s="1">
        <v>39183</v>
      </c>
      <c r="M264" s="1" t="s">
        <v>3165</v>
      </c>
      <c r="N264" t="s">
        <v>2079</v>
      </c>
      <c r="O264" t="s">
        <v>3149</v>
      </c>
    </row>
    <row r="265" spans="1:15" x14ac:dyDescent="0.3">
      <c r="A265" t="s">
        <v>2092</v>
      </c>
      <c r="B265">
        <v>6</v>
      </c>
      <c r="C265" s="1">
        <v>44958</v>
      </c>
      <c r="D265" t="s">
        <v>2093</v>
      </c>
      <c r="E265" t="s">
        <v>2094</v>
      </c>
      <c r="F265" t="s">
        <v>15</v>
      </c>
      <c r="G265" t="s">
        <v>198</v>
      </c>
      <c r="H265">
        <v>96</v>
      </c>
      <c r="I265">
        <v>2008</v>
      </c>
      <c r="J265" t="s">
        <v>17</v>
      </c>
      <c r="K265">
        <v>266572</v>
      </c>
      <c r="L265" s="1">
        <v>39585</v>
      </c>
      <c r="M265" s="1" t="s">
        <v>3165</v>
      </c>
      <c r="N265" t="s">
        <v>977</v>
      </c>
      <c r="O265" t="s">
        <v>3149</v>
      </c>
    </row>
    <row r="266" spans="1:15" x14ac:dyDescent="0.3">
      <c r="A266" t="s">
        <v>2095</v>
      </c>
      <c r="B266">
        <v>5</v>
      </c>
      <c r="C266" s="1">
        <v>43690</v>
      </c>
      <c r="D266" t="s">
        <v>2096</v>
      </c>
      <c r="E266" t="s">
        <v>2097</v>
      </c>
      <c r="F266" t="s">
        <v>15</v>
      </c>
      <c r="G266" t="s">
        <v>143</v>
      </c>
      <c r="H266">
        <v>162</v>
      </c>
      <c r="I266">
        <v>2009</v>
      </c>
      <c r="J266" t="s">
        <v>2098</v>
      </c>
      <c r="K266">
        <v>1369783</v>
      </c>
      <c r="L266" s="1">
        <v>40157</v>
      </c>
      <c r="M266" s="1" t="s">
        <v>3165</v>
      </c>
      <c r="N266" t="s">
        <v>2099</v>
      </c>
      <c r="O266" t="s">
        <v>3149</v>
      </c>
    </row>
    <row r="267" spans="1:15" x14ac:dyDescent="0.3">
      <c r="A267" t="s">
        <v>2596</v>
      </c>
      <c r="B267">
        <v>9</v>
      </c>
      <c r="C267" s="1">
        <v>44915</v>
      </c>
      <c r="D267" t="s">
        <v>2597</v>
      </c>
      <c r="E267" t="s">
        <v>2598</v>
      </c>
      <c r="F267" t="s">
        <v>15</v>
      </c>
      <c r="G267" t="s">
        <v>524</v>
      </c>
      <c r="H267">
        <v>95</v>
      </c>
      <c r="I267">
        <v>2007</v>
      </c>
      <c r="J267" t="s">
        <v>42</v>
      </c>
      <c r="K267">
        <v>56173</v>
      </c>
      <c r="L267" s="1">
        <v>39218</v>
      </c>
      <c r="M267" s="1" t="s">
        <v>3207</v>
      </c>
      <c r="N267" t="s">
        <v>293</v>
      </c>
      <c r="O267" t="s">
        <v>3149</v>
      </c>
    </row>
    <row r="268" spans="1:15" x14ac:dyDescent="0.3">
      <c r="A268" t="s">
        <v>2609</v>
      </c>
      <c r="B268">
        <v>7</v>
      </c>
      <c r="C268" s="1">
        <v>44600</v>
      </c>
      <c r="D268" t="s">
        <v>2610</v>
      </c>
      <c r="E268" t="s">
        <v>2611</v>
      </c>
      <c r="F268" t="s">
        <v>15</v>
      </c>
      <c r="G268" t="s">
        <v>116</v>
      </c>
      <c r="H268">
        <v>92</v>
      </c>
      <c r="I268">
        <v>2006</v>
      </c>
      <c r="J268" t="s">
        <v>42</v>
      </c>
      <c r="K268">
        <v>4178</v>
      </c>
      <c r="L268" s="1">
        <v>38862</v>
      </c>
      <c r="M268" s="1" t="s">
        <v>3155</v>
      </c>
      <c r="N268" t="s">
        <v>620</v>
      </c>
      <c r="O268" t="s">
        <v>3149</v>
      </c>
    </row>
    <row r="269" spans="1:15" x14ac:dyDescent="0.3">
      <c r="A269" t="s">
        <v>2643</v>
      </c>
      <c r="B269">
        <v>8</v>
      </c>
      <c r="C269" s="1">
        <v>44200</v>
      </c>
      <c r="D269" t="s">
        <v>2644</v>
      </c>
      <c r="E269" t="s">
        <v>2645</v>
      </c>
      <c r="F269" t="s">
        <v>15</v>
      </c>
      <c r="G269" t="s">
        <v>61</v>
      </c>
      <c r="H269">
        <v>100</v>
      </c>
      <c r="I269">
        <v>2011</v>
      </c>
      <c r="J269" t="s">
        <v>2646</v>
      </c>
      <c r="K269">
        <v>692299</v>
      </c>
      <c r="L269" s="1">
        <v>40683</v>
      </c>
      <c r="M269" s="1" t="s">
        <v>3165</v>
      </c>
      <c r="N269" t="s">
        <v>972</v>
      </c>
      <c r="O269" t="s">
        <v>3149</v>
      </c>
    </row>
    <row r="270" spans="1:15" x14ac:dyDescent="0.3">
      <c r="A270" t="s">
        <v>2647</v>
      </c>
      <c r="B270">
        <v>8</v>
      </c>
      <c r="C270" s="1">
        <v>43861</v>
      </c>
      <c r="D270" t="s">
        <v>2648</v>
      </c>
      <c r="E270" t="s">
        <v>2649</v>
      </c>
      <c r="F270" t="s">
        <v>15</v>
      </c>
      <c r="G270" t="s">
        <v>143</v>
      </c>
      <c r="H270">
        <v>107</v>
      </c>
      <c r="I270">
        <v>2008</v>
      </c>
      <c r="J270" t="s">
        <v>2650</v>
      </c>
      <c r="K270">
        <v>455406</v>
      </c>
      <c r="L270" s="1">
        <v>39464</v>
      </c>
      <c r="M270" s="1" t="s">
        <v>3171</v>
      </c>
      <c r="N270" t="s">
        <v>496</v>
      </c>
      <c r="O270" t="s">
        <v>3149</v>
      </c>
    </row>
    <row r="271" spans="1:15" x14ac:dyDescent="0.3">
      <c r="A271" t="s">
        <v>2654</v>
      </c>
      <c r="B271">
        <v>9</v>
      </c>
      <c r="C271" s="1">
        <v>44787</v>
      </c>
      <c r="D271" t="s">
        <v>2655</v>
      </c>
      <c r="E271" t="s">
        <v>2656</v>
      </c>
      <c r="F271" t="s">
        <v>15</v>
      </c>
      <c r="G271" t="s">
        <v>61</v>
      </c>
      <c r="H271">
        <v>123</v>
      </c>
      <c r="I271">
        <v>2007</v>
      </c>
      <c r="J271" t="s">
        <v>2657</v>
      </c>
      <c r="K271">
        <v>295287</v>
      </c>
      <c r="L271" s="1">
        <v>39322</v>
      </c>
      <c r="M271" s="1" t="s">
        <v>3171</v>
      </c>
      <c r="N271" t="s">
        <v>1899</v>
      </c>
      <c r="O271" t="s">
        <v>3149</v>
      </c>
    </row>
    <row r="272" spans="1:15" x14ac:dyDescent="0.3">
      <c r="A272" t="s">
        <v>2658</v>
      </c>
      <c r="B272">
        <v>6</v>
      </c>
      <c r="C272" s="1">
        <v>44608</v>
      </c>
      <c r="D272" t="s">
        <v>2659</v>
      </c>
      <c r="E272" t="s">
        <v>2660</v>
      </c>
      <c r="F272" t="s">
        <v>47</v>
      </c>
      <c r="G272" t="s">
        <v>158</v>
      </c>
      <c r="H272">
        <v>30</v>
      </c>
      <c r="I272">
        <v>2006</v>
      </c>
      <c r="J272" t="s">
        <v>297</v>
      </c>
      <c r="K272">
        <v>843</v>
      </c>
      <c r="L272" s="1">
        <v>38862</v>
      </c>
      <c r="M272" s="1" t="s">
        <v>3155</v>
      </c>
      <c r="N272" t="s">
        <v>183</v>
      </c>
      <c r="O272" t="s">
        <v>3149</v>
      </c>
    </row>
    <row r="273" spans="1:15" x14ac:dyDescent="0.3">
      <c r="A273" t="s">
        <v>2665</v>
      </c>
      <c r="B273">
        <v>6</v>
      </c>
      <c r="C273" s="1">
        <v>43957</v>
      </c>
      <c r="D273" t="s">
        <v>2666</v>
      </c>
      <c r="E273" t="s">
        <v>2667</v>
      </c>
      <c r="F273" t="s">
        <v>15</v>
      </c>
      <c r="G273" t="s">
        <v>79</v>
      </c>
      <c r="H273">
        <v>108</v>
      </c>
      <c r="I273">
        <v>2015</v>
      </c>
      <c r="J273" t="s">
        <v>574</v>
      </c>
      <c r="K273">
        <v>61092</v>
      </c>
      <c r="L273" s="1">
        <v>42264</v>
      </c>
      <c r="M273" s="1" t="s">
        <v>3171</v>
      </c>
      <c r="N273" t="s">
        <v>2668</v>
      </c>
      <c r="O273" t="s">
        <v>3149</v>
      </c>
    </row>
    <row r="274" spans="1:15" x14ac:dyDescent="0.3">
      <c r="A274" t="s">
        <v>2695</v>
      </c>
      <c r="B274">
        <v>4</v>
      </c>
      <c r="C274" s="1">
        <v>45223</v>
      </c>
      <c r="D274" t="s">
        <v>2696</v>
      </c>
      <c r="E274" t="s">
        <v>2697</v>
      </c>
      <c r="F274" t="s">
        <v>15</v>
      </c>
      <c r="G274" t="s">
        <v>73</v>
      </c>
      <c r="H274">
        <v>108</v>
      </c>
      <c r="I274">
        <v>2008</v>
      </c>
      <c r="J274" t="s">
        <v>2015</v>
      </c>
      <c r="K274">
        <v>267395</v>
      </c>
      <c r="L274" s="1">
        <v>39629</v>
      </c>
      <c r="M274" s="1" t="s">
        <v>3165</v>
      </c>
      <c r="N274" t="s">
        <v>2698</v>
      </c>
      <c r="O274" t="s">
        <v>3175</v>
      </c>
    </row>
    <row r="275" spans="1:15" x14ac:dyDescent="0.3">
      <c r="A275" t="s">
        <v>2710</v>
      </c>
      <c r="B275">
        <v>7</v>
      </c>
      <c r="C275" s="1">
        <v>45165</v>
      </c>
      <c r="D275" t="s">
        <v>2711</v>
      </c>
      <c r="E275" t="s">
        <v>2712</v>
      </c>
      <c r="F275" t="s">
        <v>15</v>
      </c>
      <c r="G275" t="s">
        <v>16</v>
      </c>
      <c r="H275">
        <v>106</v>
      </c>
      <c r="I275">
        <v>2007</v>
      </c>
      <c r="J275" t="s">
        <v>17</v>
      </c>
      <c r="K275">
        <v>153190</v>
      </c>
      <c r="L275" s="1">
        <v>39341</v>
      </c>
      <c r="M275" s="1" t="s">
        <v>3165</v>
      </c>
      <c r="N275" t="s">
        <v>1665</v>
      </c>
      <c r="O275" t="s">
        <v>3149</v>
      </c>
    </row>
    <row r="276" spans="1:15" x14ac:dyDescent="0.3">
      <c r="A276" t="s">
        <v>2723</v>
      </c>
      <c r="B276">
        <v>7</v>
      </c>
      <c r="C276" s="1">
        <v>45182</v>
      </c>
      <c r="D276" t="s">
        <v>2724</v>
      </c>
      <c r="E276" t="s">
        <v>2725</v>
      </c>
      <c r="F276" t="s">
        <v>15</v>
      </c>
      <c r="G276" t="s">
        <v>29</v>
      </c>
      <c r="H276">
        <v>96</v>
      </c>
      <c r="I276">
        <v>2007</v>
      </c>
      <c r="J276" t="s">
        <v>2726</v>
      </c>
      <c r="K276">
        <v>99117</v>
      </c>
      <c r="L276" s="1">
        <v>39225</v>
      </c>
      <c r="M276" s="1" t="s">
        <v>3155</v>
      </c>
      <c r="N276" t="s">
        <v>2727</v>
      </c>
    </row>
    <row r="277" spans="1:15" x14ac:dyDescent="0.3">
      <c r="A277" t="s">
        <v>2728</v>
      </c>
      <c r="B277">
        <v>6</v>
      </c>
      <c r="C277" s="1">
        <v>45277</v>
      </c>
      <c r="D277" t="s">
        <v>2729</v>
      </c>
      <c r="E277" t="s">
        <v>2730</v>
      </c>
      <c r="F277" t="s">
        <v>15</v>
      </c>
      <c r="G277" t="s">
        <v>16</v>
      </c>
      <c r="H277">
        <v>89</v>
      </c>
      <c r="I277">
        <v>2006</v>
      </c>
      <c r="J277" t="s">
        <v>261</v>
      </c>
      <c r="K277">
        <v>8025</v>
      </c>
      <c r="L277" s="1">
        <v>38861</v>
      </c>
      <c r="M277" s="1" t="s">
        <v>3212</v>
      </c>
      <c r="N277" t="s">
        <v>2731</v>
      </c>
      <c r="O277" t="s">
        <v>3149</v>
      </c>
    </row>
    <row r="278" spans="1:15" x14ac:dyDescent="0.3">
      <c r="A278" t="s">
        <v>2736</v>
      </c>
      <c r="B278">
        <v>7</v>
      </c>
      <c r="C278" s="1">
        <v>44646</v>
      </c>
      <c r="D278" t="s">
        <v>2737</v>
      </c>
      <c r="E278" t="s">
        <v>2738</v>
      </c>
      <c r="F278" t="s">
        <v>15</v>
      </c>
      <c r="G278" t="s">
        <v>198</v>
      </c>
      <c r="H278">
        <v>119</v>
      </c>
      <c r="I278">
        <v>2015</v>
      </c>
      <c r="J278" t="s">
        <v>672</v>
      </c>
      <c r="K278">
        <v>197145</v>
      </c>
      <c r="L278" s="1">
        <v>42252</v>
      </c>
      <c r="M278" s="1" t="s">
        <v>3165</v>
      </c>
      <c r="N278" t="s">
        <v>2739</v>
      </c>
      <c r="O278" t="s">
        <v>3149</v>
      </c>
    </row>
    <row r="279" spans="1:15" x14ac:dyDescent="0.3">
      <c r="A279" t="s">
        <v>2796</v>
      </c>
      <c r="B279">
        <v>6</v>
      </c>
      <c r="C279" s="1">
        <v>45093</v>
      </c>
      <c r="D279" t="s">
        <v>2797</v>
      </c>
      <c r="E279" t="s">
        <v>2798</v>
      </c>
      <c r="F279" t="s">
        <v>15</v>
      </c>
      <c r="G279" t="s">
        <v>79</v>
      </c>
      <c r="H279">
        <v>91</v>
      </c>
      <c r="I279">
        <v>2007</v>
      </c>
      <c r="J279" t="s">
        <v>1959</v>
      </c>
      <c r="K279">
        <v>214151</v>
      </c>
      <c r="L279" s="1">
        <v>39325</v>
      </c>
      <c r="M279" s="1" t="s">
        <v>3165</v>
      </c>
      <c r="N279" t="s">
        <v>298</v>
      </c>
      <c r="O279" t="s">
        <v>3149</v>
      </c>
    </row>
    <row r="280" spans="1:15" x14ac:dyDescent="0.3">
      <c r="A280" t="s">
        <v>2803</v>
      </c>
      <c r="B280">
        <v>5</v>
      </c>
      <c r="C280" s="1">
        <v>44649</v>
      </c>
      <c r="D280" t="s">
        <v>2804</v>
      </c>
      <c r="E280" t="s">
        <v>2805</v>
      </c>
      <c r="F280" t="s">
        <v>15</v>
      </c>
      <c r="G280" t="s">
        <v>116</v>
      </c>
      <c r="H280">
        <v>90</v>
      </c>
      <c r="I280">
        <v>2009</v>
      </c>
      <c r="J280" t="s">
        <v>421</v>
      </c>
      <c r="K280">
        <v>71037</v>
      </c>
      <c r="L280" s="1">
        <v>40025</v>
      </c>
      <c r="M280" s="1" t="s">
        <v>3165</v>
      </c>
      <c r="N280" t="s">
        <v>2806</v>
      </c>
      <c r="O280" t="s">
        <v>3149</v>
      </c>
    </row>
    <row r="281" spans="1:15" x14ac:dyDescent="0.3">
      <c r="A281" t="s">
        <v>2807</v>
      </c>
      <c r="B281">
        <v>5</v>
      </c>
      <c r="C281" s="1">
        <v>43826</v>
      </c>
      <c r="D281" t="s">
        <v>2808</v>
      </c>
      <c r="E281" t="s">
        <v>2809</v>
      </c>
      <c r="F281" t="s">
        <v>15</v>
      </c>
      <c r="G281" t="s">
        <v>2810</v>
      </c>
      <c r="H281">
        <v>85</v>
      </c>
      <c r="I281">
        <v>2008</v>
      </c>
      <c r="J281" t="s">
        <v>738</v>
      </c>
      <c r="K281">
        <v>3945</v>
      </c>
      <c r="L281" s="1">
        <v>39597</v>
      </c>
      <c r="M281" s="1" t="s">
        <v>3165</v>
      </c>
      <c r="N281" t="s">
        <v>2811</v>
      </c>
      <c r="O281" t="s">
        <v>3149</v>
      </c>
    </row>
    <row r="282" spans="1:15" x14ac:dyDescent="0.3">
      <c r="A282" t="s">
        <v>2872</v>
      </c>
      <c r="B282">
        <v>7</v>
      </c>
      <c r="C282" s="1">
        <v>44907</v>
      </c>
      <c r="D282" t="s">
        <v>2873</v>
      </c>
      <c r="E282" t="s">
        <v>2874</v>
      </c>
      <c r="F282" t="s">
        <v>15</v>
      </c>
      <c r="G282" t="s">
        <v>73</v>
      </c>
      <c r="H282">
        <v>108</v>
      </c>
      <c r="I282">
        <v>2009</v>
      </c>
      <c r="J282" t="s">
        <v>1162</v>
      </c>
      <c r="K282">
        <v>134456</v>
      </c>
      <c r="L282" s="1">
        <v>39951</v>
      </c>
      <c r="M282" s="1" t="s">
        <v>3188</v>
      </c>
      <c r="N282" t="s">
        <v>914</v>
      </c>
      <c r="O282" t="s">
        <v>3149</v>
      </c>
    </row>
    <row r="283" spans="1:15" x14ac:dyDescent="0.3">
      <c r="A283" t="s">
        <v>2896</v>
      </c>
      <c r="B283">
        <v>5</v>
      </c>
      <c r="C283" s="1">
        <v>44957</v>
      </c>
      <c r="D283" t="s">
        <v>2897</v>
      </c>
      <c r="E283" t="s">
        <v>2898</v>
      </c>
      <c r="F283" t="s">
        <v>15</v>
      </c>
      <c r="G283" t="s">
        <v>95</v>
      </c>
      <c r="H283">
        <v>122</v>
      </c>
      <c r="I283">
        <v>2007</v>
      </c>
      <c r="J283" t="s">
        <v>389</v>
      </c>
      <c r="K283">
        <v>17257</v>
      </c>
      <c r="L283" s="1">
        <v>39342</v>
      </c>
      <c r="M283" s="1" t="s">
        <v>3166</v>
      </c>
      <c r="N283" t="s">
        <v>2137</v>
      </c>
      <c r="O283" t="s">
        <v>3149</v>
      </c>
    </row>
    <row r="284" spans="1:15" x14ac:dyDescent="0.3">
      <c r="A284" t="s">
        <v>2920</v>
      </c>
      <c r="B284">
        <v>6</v>
      </c>
      <c r="C284" s="1">
        <v>44995</v>
      </c>
      <c r="D284" t="s">
        <v>2921</v>
      </c>
      <c r="E284" t="s">
        <v>2922</v>
      </c>
      <c r="F284" t="s">
        <v>15</v>
      </c>
      <c r="G284" t="s">
        <v>95</v>
      </c>
      <c r="H284">
        <v>96</v>
      </c>
      <c r="I284">
        <v>2008</v>
      </c>
      <c r="J284" t="s">
        <v>2650</v>
      </c>
      <c r="K284">
        <v>348507</v>
      </c>
      <c r="L284" s="1">
        <v>39687</v>
      </c>
      <c r="M284" s="1" t="s">
        <v>3165</v>
      </c>
      <c r="N284" t="s">
        <v>448</v>
      </c>
      <c r="O284" t="s">
        <v>3149</v>
      </c>
    </row>
    <row r="285" spans="1:15" x14ac:dyDescent="0.3">
      <c r="A285" t="s">
        <v>2957</v>
      </c>
      <c r="B285">
        <v>7</v>
      </c>
      <c r="C285" s="1">
        <v>45252</v>
      </c>
      <c r="D285" t="s">
        <v>2958</v>
      </c>
      <c r="E285" t="s">
        <v>2959</v>
      </c>
      <c r="F285" t="s">
        <v>15</v>
      </c>
      <c r="G285" t="s">
        <v>927</v>
      </c>
      <c r="H285">
        <v>98</v>
      </c>
      <c r="I285">
        <v>2008</v>
      </c>
      <c r="J285" t="s">
        <v>2960</v>
      </c>
      <c r="K285">
        <v>1179491</v>
      </c>
      <c r="L285" s="1">
        <v>39620</v>
      </c>
      <c r="M285" s="1" t="s">
        <v>3165</v>
      </c>
      <c r="N285" t="s">
        <v>2961</v>
      </c>
      <c r="O285" t="s">
        <v>3149</v>
      </c>
    </row>
    <row r="286" spans="1:15" x14ac:dyDescent="0.3">
      <c r="A286" t="s">
        <v>2972</v>
      </c>
      <c r="B286">
        <v>7</v>
      </c>
      <c r="C286" s="1">
        <v>45164</v>
      </c>
      <c r="D286" t="s">
        <v>2973</v>
      </c>
      <c r="E286" t="s">
        <v>2974</v>
      </c>
      <c r="F286" t="s">
        <v>15</v>
      </c>
      <c r="G286" t="s">
        <v>84</v>
      </c>
      <c r="H286">
        <v>94</v>
      </c>
      <c r="I286">
        <v>2008</v>
      </c>
      <c r="J286" t="s">
        <v>193</v>
      </c>
      <c r="K286">
        <v>239853</v>
      </c>
      <c r="L286" s="1">
        <v>39688</v>
      </c>
      <c r="M286" s="1" t="s">
        <v>3171</v>
      </c>
      <c r="N286" t="s">
        <v>2975</v>
      </c>
      <c r="O286" t="s">
        <v>3149</v>
      </c>
    </row>
    <row r="287" spans="1:15" x14ac:dyDescent="0.3">
      <c r="A287" t="s">
        <v>2999</v>
      </c>
      <c r="B287">
        <v>6</v>
      </c>
      <c r="C287" s="1">
        <v>44441</v>
      </c>
      <c r="D287" t="s">
        <v>3000</v>
      </c>
      <c r="E287" t="s">
        <v>3001</v>
      </c>
      <c r="F287" t="s">
        <v>551</v>
      </c>
      <c r="G287" t="s">
        <v>23</v>
      </c>
      <c r="H287">
        <v>56</v>
      </c>
      <c r="I287">
        <v>2007</v>
      </c>
      <c r="J287" t="s">
        <v>235</v>
      </c>
      <c r="K287">
        <v>8977</v>
      </c>
      <c r="L287" s="1">
        <v>39095</v>
      </c>
      <c r="M287" s="1" t="s">
        <v>3165</v>
      </c>
      <c r="N287" t="s">
        <v>3002</v>
      </c>
      <c r="O287" t="s">
        <v>3149</v>
      </c>
    </row>
    <row r="288" spans="1:15" x14ac:dyDescent="0.3">
      <c r="A288" t="s">
        <v>3038</v>
      </c>
      <c r="B288">
        <v>8</v>
      </c>
      <c r="C288" s="1">
        <v>44886</v>
      </c>
      <c r="D288" t="s">
        <v>3039</v>
      </c>
      <c r="E288" t="s">
        <v>3040</v>
      </c>
      <c r="F288" t="s">
        <v>15</v>
      </c>
      <c r="G288" t="s">
        <v>29</v>
      </c>
      <c r="H288">
        <v>108</v>
      </c>
      <c r="I288">
        <v>2010</v>
      </c>
      <c r="J288" t="s">
        <v>117</v>
      </c>
      <c r="K288">
        <v>810610</v>
      </c>
      <c r="L288" s="1">
        <v>40422</v>
      </c>
      <c r="M288" s="1" t="s">
        <v>3165</v>
      </c>
      <c r="N288" t="s">
        <v>760</v>
      </c>
      <c r="O288" t="s">
        <v>3149</v>
      </c>
    </row>
    <row r="289" spans="1:15" x14ac:dyDescent="0.3">
      <c r="A289" t="s">
        <v>3067</v>
      </c>
      <c r="B289">
        <v>8</v>
      </c>
      <c r="C289" s="1">
        <v>44664</v>
      </c>
      <c r="D289" t="s">
        <v>3068</v>
      </c>
      <c r="E289" t="s">
        <v>3069</v>
      </c>
      <c r="F289" t="s">
        <v>15</v>
      </c>
      <c r="G289" t="s">
        <v>16</v>
      </c>
      <c r="H289">
        <v>119</v>
      </c>
      <c r="I289">
        <v>2008</v>
      </c>
      <c r="J289" t="s">
        <v>42</v>
      </c>
      <c r="K289">
        <v>222657</v>
      </c>
      <c r="L289" s="1">
        <v>39797</v>
      </c>
      <c r="M289" s="1" t="s">
        <v>3165</v>
      </c>
      <c r="N289" t="s">
        <v>1048</v>
      </c>
      <c r="O289" t="s">
        <v>3149</v>
      </c>
    </row>
    <row r="290" spans="1:15" x14ac:dyDescent="0.3">
      <c r="A290" t="s">
        <v>3091</v>
      </c>
      <c r="B290">
        <v>6</v>
      </c>
      <c r="C290" s="1">
        <v>45015</v>
      </c>
      <c r="D290" t="s">
        <v>3092</v>
      </c>
      <c r="E290" t="s">
        <v>3093</v>
      </c>
      <c r="F290" t="s">
        <v>15</v>
      </c>
      <c r="G290" t="s">
        <v>56</v>
      </c>
      <c r="H290">
        <v>126</v>
      </c>
      <c r="I290">
        <v>2011</v>
      </c>
      <c r="J290" t="s">
        <v>3094</v>
      </c>
      <c r="K290">
        <v>334221</v>
      </c>
      <c r="L290" s="1">
        <v>40826</v>
      </c>
      <c r="M290" s="1" t="s">
        <v>3165</v>
      </c>
      <c r="N290" t="s">
        <v>371</v>
      </c>
      <c r="O290" t="s">
        <v>3149</v>
      </c>
    </row>
    <row r="291" spans="1:15" x14ac:dyDescent="0.3">
      <c r="A291" t="s">
        <v>3095</v>
      </c>
      <c r="B291">
        <v>7</v>
      </c>
      <c r="C291" s="1">
        <v>43822</v>
      </c>
      <c r="D291" t="s">
        <v>3096</v>
      </c>
      <c r="E291" t="s">
        <v>3097</v>
      </c>
      <c r="F291" t="s">
        <v>15</v>
      </c>
      <c r="G291" t="s">
        <v>95</v>
      </c>
      <c r="H291">
        <v>92</v>
      </c>
      <c r="I291">
        <v>2008</v>
      </c>
      <c r="J291" t="s">
        <v>225</v>
      </c>
      <c r="K291">
        <v>29535</v>
      </c>
      <c r="L291" s="1">
        <v>39514</v>
      </c>
      <c r="M291" s="1" t="s">
        <v>3165</v>
      </c>
      <c r="N291" t="s">
        <v>3098</v>
      </c>
      <c r="O291" t="s">
        <v>3149</v>
      </c>
    </row>
    <row r="292" spans="1:15" x14ac:dyDescent="0.3">
      <c r="A292" t="s">
        <v>3106</v>
      </c>
      <c r="B292">
        <v>8</v>
      </c>
      <c r="C292" s="1">
        <v>44446</v>
      </c>
      <c r="D292" t="s">
        <v>3107</v>
      </c>
      <c r="E292" t="s">
        <v>3108</v>
      </c>
      <c r="F292" t="s">
        <v>15</v>
      </c>
      <c r="G292" t="s">
        <v>41</v>
      </c>
      <c r="H292">
        <v>124</v>
      </c>
      <c r="I292">
        <v>2008</v>
      </c>
      <c r="J292" t="s">
        <v>335</v>
      </c>
      <c r="K292">
        <v>256349</v>
      </c>
      <c r="L292" s="1">
        <v>39792</v>
      </c>
      <c r="M292" s="1" t="s">
        <v>3165</v>
      </c>
      <c r="N292" t="s">
        <v>1523</v>
      </c>
      <c r="O292" t="s">
        <v>3149</v>
      </c>
    </row>
    <row r="293" spans="1:15" x14ac:dyDescent="0.3">
      <c r="A293" t="s">
        <v>3135</v>
      </c>
      <c r="B293">
        <v>8</v>
      </c>
      <c r="C293" s="1">
        <v>43896</v>
      </c>
      <c r="D293" t="s">
        <v>3136</v>
      </c>
      <c r="E293" t="s">
        <v>3137</v>
      </c>
      <c r="F293" t="s">
        <v>15</v>
      </c>
      <c r="G293" t="s">
        <v>369</v>
      </c>
      <c r="H293">
        <v>180</v>
      </c>
      <c r="I293">
        <v>2013</v>
      </c>
      <c r="J293" t="s">
        <v>2555</v>
      </c>
      <c r="K293">
        <v>1542173</v>
      </c>
      <c r="L293" s="1">
        <v>41617</v>
      </c>
      <c r="M293" s="1" t="s">
        <v>3165</v>
      </c>
      <c r="N293" t="s">
        <v>371</v>
      </c>
      <c r="O293" t="s">
        <v>3149</v>
      </c>
    </row>
    <row r="294" spans="1:15" x14ac:dyDescent="0.3">
      <c r="A294" t="s">
        <v>3138</v>
      </c>
      <c r="B294">
        <v>6</v>
      </c>
      <c r="C294" s="1">
        <v>44716</v>
      </c>
      <c r="D294" t="s">
        <v>3139</v>
      </c>
      <c r="E294" t="s">
        <v>3140</v>
      </c>
      <c r="F294" t="s">
        <v>15</v>
      </c>
      <c r="G294" t="s">
        <v>95</v>
      </c>
      <c r="H294">
        <v>91</v>
      </c>
      <c r="I294">
        <v>2007</v>
      </c>
      <c r="J294" t="s">
        <v>1228</v>
      </c>
      <c r="K294">
        <v>10013</v>
      </c>
      <c r="L294" s="1">
        <v>39220</v>
      </c>
      <c r="M294" s="1" t="s">
        <v>3155</v>
      </c>
      <c r="N294" t="s">
        <v>620</v>
      </c>
      <c r="O294" t="s">
        <v>3149</v>
      </c>
    </row>
    <row r="295" spans="1:15" x14ac:dyDescent="0.3">
      <c r="A295" t="s">
        <v>19</v>
      </c>
      <c r="B295">
        <v>8</v>
      </c>
      <c r="C295" s="1">
        <v>44216</v>
      </c>
      <c r="D295" t="s">
        <v>20</v>
      </c>
      <c r="E295" t="s">
        <v>21</v>
      </c>
      <c r="F295" t="s">
        <v>22</v>
      </c>
      <c r="G295" t="s">
        <v>23</v>
      </c>
      <c r="H295">
        <v>397</v>
      </c>
      <c r="I295">
        <v>2020</v>
      </c>
      <c r="J295" t="s">
        <v>24</v>
      </c>
      <c r="K295">
        <v>528211</v>
      </c>
      <c r="L295" s="1">
        <v>44127</v>
      </c>
      <c r="M295" s="1" t="s">
        <v>3165</v>
      </c>
      <c r="N295" t="s">
        <v>3187</v>
      </c>
      <c r="O295" t="s">
        <v>3149</v>
      </c>
    </row>
    <row r="296" spans="1:15" x14ac:dyDescent="0.3">
      <c r="A296" t="s">
        <v>26</v>
      </c>
      <c r="B296">
        <v>8</v>
      </c>
      <c r="C296" s="1">
        <v>43582</v>
      </c>
      <c r="D296" t="s">
        <v>27</v>
      </c>
      <c r="E296" t="s">
        <v>28</v>
      </c>
      <c r="F296" t="s">
        <v>15</v>
      </c>
      <c r="G296" t="s">
        <v>29</v>
      </c>
      <c r="H296">
        <v>120</v>
      </c>
      <c r="I296">
        <v>2008</v>
      </c>
      <c r="J296" t="s">
        <v>30</v>
      </c>
      <c r="K296">
        <v>870302</v>
      </c>
      <c r="L296" s="1">
        <v>39690</v>
      </c>
      <c r="M296" s="1" t="s">
        <v>3198</v>
      </c>
      <c r="N296" t="s">
        <v>31</v>
      </c>
    </row>
    <row r="297" spans="1:15" x14ac:dyDescent="0.3">
      <c r="A297" t="s">
        <v>44</v>
      </c>
      <c r="B297">
        <v>8</v>
      </c>
      <c r="C297" s="1">
        <v>44450</v>
      </c>
      <c r="D297" t="s">
        <v>45</v>
      </c>
      <c r="E297" t="s">
        <v>46</v>
      </c>
      <c r="F297" t="s">
        <v>47</v>
      </c>
      <c r="G297" t="s">
        <v>25</v>
      </c>
      <c r="H297">
        <v>29</v>
      </c>
      <c r="I297">
        <v>2019</v>
      </c>
      <c r="J297" t="s">
        <v>48</v>
      </c>
      <c r="L297" s="1">
        <v>43548</v>
      </c>
      <c r="M297" s="1" t="s">
        <v>3154</v>
      </c>
      <c r="N297" t="s">
        <v>3224</v>
      </c>
      <c r="O297" t="s">
        <v>3149</v>
      </c>
    </row>
    <row r="298" spans="1:15" x14ac:dyDescent="0.3">
      <c r="A298" t="s">
        <v>49</v>
      </c>
      <c r="B298">
        <v>8</v>
      </c>
      <c r="C298" s="1">
        <v>45083</v>
      </c>
      <c r="D298" t="s">
        <v>50</v>
      </c>
      <c r="E298" t="s">
        <v>51</v>
      </c>
      <c r="F298" t="s">
        <v>47</v>
      </c>
      <c r="G298" t="s">
        <v>29</v>
      </c>
      <c r="H298">
        <v>23</v>
      </c>
      <c r="I298">
        <v>2019</v>
      </c>
      <c r="J298" t="s">
        <v>48</v>
      </c>
      <c r="K298">
        <v>25</v>
      </c>
      <c r="L298" s="1">
        <v>43547</v>
      </c>
      <c r="M298" s="1" t="s">
        <v>3154</v>
      </c>
      <c r="N298" t="s">
        <v>52</v>
      </c>
      <c r="O298" t="s">
        <v>3149</v>
      </c>
    </row>
    <row r="299" spans="1:15" x14ac:dyDescent="0.3">
      <c r="A299" t="s">
        <v>58</v>
      </c>
      <c r="B299">
        <v>8</v>
      </c>
      <c r="C299" s="1">
        <v>44865</v>
      </c>
      <c r="D299" t="s">
        <v>59</v>
      </c>
      <c r="E299" t="s">
        <v>60</v>
      </c>
      <c r="F299" t="s">
        <v>15</v>
      </c>
      <c r="G299" t="s">
        <v>61</v>
      </c>
      <c r="H299">
        <v>148</v>
      </c>
      <c r="I299">
        <v>2022</v>
      </c>
      <c r="J299" t="s">
        <v>62</v>
      </c>
      <c r="K299">
        <v>232724</v>
      </c>
      <c r="L299" s="1">
        <v>44816</v>
      </c>
      <c r="M299" s="1" t="s">
        <v>3180</v>
      </c>
      <c r="N299" t="s">
        <v>63</v>
      </c>
      <c r="O299" t="s">
        <v>3149</v>
      </c>
    </row>
    <row r="300" spans="1:15" x14ac:dyDescent="0.3">
      <c r="A300" t="s">
        <v>64</v>
      </c>
      <c r="B300">
        <v>7</v>
      </c>
      <c r="C300" s="1">
        <v>44920</v>
      </c>
      <c r="D300" t="s">
        <v>65</v>
      </c>
      <c r="E300" t="s">
        <v>66</v>
      </c>
      <c r="F300" t="s">
        <v>15</v>
      </c>
      <c r="G300" t="s">
        <v>67</v>
      </c>
      <c r="H300">
        <v>131</v>
      </c>
      <c r="I300">
        <v>2022</v>
      </c>
      <c r="J300" t="s">
        <v>68</v>
      </c>
      <c r="K300">
        <v>53799</v>
      </c>
      <c r="L300" s="1">
        <v>44806</v>
      </c>
      <c r="M300" s="1" t="s">
        <v>3165</v>
      </c>
      <c r="N300" t="s">
        <v>69</v>
      </c>
      <c r="O300" t="s">
        <v>3149</v>
      </c>
    </row>
    <row r="301" spans="1:15" x14ac:dyDescent="0.3">
      <c r="A301" t="s">
        <v>70</v>
      </c>
      <c r="B301">
        <v>6</v>
      </c>
      <c r="C301" s="1">
        <v>44047</v>
      </c>
      <c r="D301" t="s">
        <v>71</v>
      </c>
      <c r="E301" t="s">
        <v>72</v>
      </c>
      <c r="F301" t="s">
        <v>15</v>
      </c>
      <c r="G301" t="s">
        <v>73</v>
      </c>
      <c r="H301">
        <v>106</v>
      </c>
      <c r="I301">
        <v>2010</v>
      </c>
      <c r="J301" t="s">
        <v>74</v>
      </c>
      <c r="K301">
        <v>50593</v>
      </c>
      <c r="L301" s="1">
        <v>40202</v>
      </c>
      <c r="M301" s="1" t="s">
        <v>3165</v>
      </c>
      <c r="N301" t="s">
        <v>75</v>
      </c>
      <c r="O301" t="s">
        <v>3175</v>
      </c>
    </row>
    <row r="302" spans="1:15" x14ac:dyDescent="0.3">
      <c r="A302" t="s">
        <v>87</v>
      </c>
      <c r="B302">
        <v>8</v>
      </c>
      <c r="C302" s="1">
        <v>44496</v>
      </c>
      <c r="D302" t="s">
        <v>88</v>
      </c>
      <c r="E302" t="s">
        <v>89</v>
      </c>
      <c r="F302" t="s">
        <v>47</v>
      </c>
      <c r="G302" t="s">
        <v>16</v>
      </c>
      <c r="H302">
        <v>14</v>
      </c>
      <c r="I302">
        <v>2019</v>
      </c>
      <c r="J302" t="s">
        <v>90</v>
      </c>
      <c r="K302">
        <v>90</v>
      </c>
      <c r="L302" s="1">
        <v>43504</v>
      </c>
      <c r="M302" s="1" t="s">
        <v>3154</v>
      </c>
      <c r="N302" t="s">
        <v>91</v>
      </c>
      <c r="O302" t="s">
        <v>3149</v>
      </c>
    </row>
    <row r="303" spans="1:15" x14ac:dyDescent="0.3">
      <c r="A303" t="s">
        <v>92</v>
      </c>
      <c r="B303">
        <v>6</v>
      </c>
      <c r="C303" s="1">
        <v>44976</v>
      </c>
      <c r="D303" t="s">
        <v>93</v>
      </c>
      <c r="E303" t="s">
        <v>94</v>
      </c>
      <c r="F303" t="s">
        <v>15</v>
      </c>
      <c r="G303" t="s">
        <v>95</v>
      </c>
      <c r="H303">
        <v>79</v>
      </c>
      <c r="I303">
        <v>2010</v>
      </c>
      <c r="J303" t="s">
        <v>96</v>
      </c>
      <c r="K303">
        <v>7401</v>
      </c>
      <c r="L303" s="1">
        <v>40305</v>
      </c>
      <c r="M303" s="1" t="s">
        <v>3155</v>
      </c>
      <c r="N303" t="s">
        <v>97</v>
      </c>
      <c r="O303" t="s">
        <v>3149</v>
      </c>
    </row>
    <row r="304" spans="1:15" x14ac:dyDescent="0.3">
      <c r="A304" t="s">
        <v>98</v>
      </c>
      <c r="B304">
        <v>7</v>
      </c>
      <c r="C304" s="1">
        <v>44005</v>
      </c>
      <c r="D304" t="s">
        <v>99</v>
      </c>
      <c r="E304" t="s">
        <v>100</v>
      </c>
      <c r="F304" t="s">
        <v>15</v>
      </c>
      <c r="G304" t="s">
        <v>84</v>
      </c>
      <c r="H304">
        <v>95</v>
      </c>
      <c r="I304">
        <v>2009</v>
      </c>
      <c r="J304" t="s">
        <v>17</v>
      </c>
      <c r="K304">
        <v>547312</v>
      </c>
      <c r="L304" s="1">
        <v>39830</v>
      </c>
      <c r="M304" s="1" t="s">
        <v>3165</v>
      </c>
      <c r="N304" t="s">
        <v>101</v>
      </c>
      <c r="O304" t="s">
        <v>3149</v>
      </c>
    </row>
    <row r="305" spans="1:15" x14ac:dyDescent="0.3">
      <c r="A305" t="s">
        <v>102</v>
      </c>
      <c r="B305">
        <v>6</v>
      </c>
      <c r="C305" s="1">
        <v>44425</v>
      </c>
      <c r="D305" t="s">
        <v>103</v>
      </c>
      <c r="E305" t="s">
        <v>104</v>
      </c>
      <c r="F305" t="s">
        <v>15</v>
      </c>
      <c r="G305" t="s">
        <v>105</v>
      </c>
      <c r="H305">
        <v>100</v>
      </c>
      <c r="I305">
        <v>2020</v>
      </c>
      <c r="J305" t="s">
        <v>106</v>
      </c>
      <c r="K305">
        <v>109</v>
      </c>
      <c r="L305" s="1">
        <v>44113</v>
      </c>
      <c r="M305" s="1" t="s">
        <v>3154</v>
      </c>
      <c r="N305" t="s">
        <v>107</v>
      </c>
      <c r="O305" t="s">
        <v>3149</v>
      </c>
    </row>
    <row r="306" spans="1:15" x14ac:dyDescent="0.3">
      <c r="A306" t="s">
        <v>108</v>
      </c>
      <c r="B306">
        <v>7</v>
      </c>
      <c r="C306" s="1">
        <v>44892</v>
      </c>
      <c r="D306" t="s">
        <v>109</v>
      </c>
      <c r="E306" t="s">
        <v>110</v>
      </c>
      <c r="F306" t="s">
        <v>15</v>
      </c>
      <c r="G306" t="s">
        <v>67</v>
      </c>
      <c r="H306">
        <v>126</v>
      </c>
      <c r="I306">
        <v>2022</v>
      </c>
      <c r="J306" t="s">
        <v>111</v>
      </c>
      <c r="K306">
        <v>25642</v>
      </c>
      <c r="L306" s="1">
        <v>44817</v>
      </c>
      <c r="M306" s="1" t="s">
        <v>3165</v>
      </c>
      <c r="N306" t="s">
        <v>112</v>
      </c>
      <c r="O306" t="s">
        <v>3149</v>
      </c>
    </row>
    <row r="307" spans="1:15" x14ac:dyDescent="0.3">
      <c r="A307" t="s">
        <v>113</v>
      </c>
      <c r="B307">
        <v>6</v>
      </c>
      <c r="C307" s="1">
        <v>44898</v>
      </c>
      <c r="D307" t="s">
        <v>114</v>
      </c>
      <c r="E307" t="s">
        <v>115</v>
      </c>
      <c r="F307" t="s">
        <v>15</v>
      </c>
      <c r="G307" t="s">
        <v>116</v>
      </c>
      <c r="H307">
        <v>51</v>
      </c>
      <c r="I307">
        <v>2019</v>
      </c>
      <c r="J307" t="s">
        <v>117</v>
      </c>
      <c r="K307">
        <v>7066</v>
      </c>
      <c r="L307" s="1">
        <v>43603</v>
      </c>
      <c r="M307" s="1" t="s">
        <v>3155</v>
      </c>
      <c r="N307" t="s">
        <v>118</v>
      </c>
      <c r="O307" t="s">
        <v>3149</v>
      </c>
    </row>
    <row r="308" spans="1:15" x14ac:dyDescent="0.3">
      <c r="A308" t="s">
        <v>125</v>
      </c>
      <c r="B308">
        <v>6</v>
      </c>
      <c r="C308" s="1">
        <v>44558</v>
      </c>
      <c r="D308" t="s">
        <v>126</v>
      </c>
      <c r="E308" t="s">
        <v>127</v>
      </c>
      <c r="F308" t="s">
        <v>15</v>
      </c>
      <c r="G308" t="s">
        <v>67</v>
      </c>
      <c r="H308">
        <v>126</v>
      </c>
      <c r="I308">
        <v>2021</v>
      </c>
      <c r="J308" t="s">
        <v>128</v>
      </c>
      <c r="K308">
        <v>190009</v>
      </c>
      <c r="L308" s="1">
        <v>44441</v>
      </c>
      <c r="M308" s="1" t="s">
        <v>3171</v>
      </c>
      <c r="N308" t="s">
        <v>129</v>
      </c>
      <c r="O308" t="s">
        <v>3175</v>
      </c>
    </row>
    <row r="309" spans="1:15" x14ac:dyDescent="0.3">
      <c r="A309" t="s">
        <v>130</v>
      </c>
      <c r="B309">
        <v>6</v>
      </c>
      <c r="C309" s="1">
        <v>44949</v>
      </c>
      <c r="D309" t="s">
        <v>131</v>
      </c>
      <c r="E309" t="s">
        <v>132</v>
      </c>
      <c r="F309" t="s">
        <v>15</v>
      </c>
      <c r="G309" t="s">
        <v>105</v>
      </c>
      <c r="H309">
        <v>134</v>
      </c>
      <c r="I309">
        <v>2022</v>
      </c>
      <c r="J309" t="s">
        <v>133</v>
      </c>
      <c r="K309">
        <v>88291</v>
      </c>
      <c r="L309" s="1">
        <v>44822</v>
      </c>
      <c r="M309" s="1" t="s">
        <v>3165</v>
      </c>
      <c r="N309" t="s">
        <v>134</v>
      </c>
      <c r="O309" t="s">
        <v>3149</v>
      </c>
    </row>
    <row r="310" spans="1:15" x14ac:dyDescent="0.3">
      <c r="A310" t="s">
        <v>140</v>
      </c>
      <c r="B310">
        <v>7</v>
      </c>
      <c r="C310" s="1">
        <v>45029</v>
      </c>
      <c r="D310" s="3" t="s">
        <v>141</v>
      </c>
      <c r="E310" t="s">
        <v>142</v>
      </c>
      <c r="F310" t="s">
        <v>15</v>
      </c>
      <c r="G310" t="s">
        <v>143</v>
      </c>
      <c r="H310">
        <v>113</v>
      </c>
      <c r="I310">
        <v>2007</v>
      </c>
      <c r="J310" t="s">
        <v>24</v>
      </c>
      <c r="K310">
        <v>62803</v>
      </c>
      <c r="L310" s="1">
        <v>39219</v>
      </c>
      <c r="M310" s="1" t="s">
        <v>3212</v>
      </c>
      <c r="N310" t="s">
        <v>144</v>
      </c>
      <c r="O310" t="s">
        <v>3149</v>
      </c>
    </row>
    <row r="311" spans="1:15" x14ac:dyDescent="0.3">
      <c r="A311" t="s">
        <v>145</v>
      </c>
      <c r="B311">
        <v>7</v>
      </c>
      <c r="C311" s="1">
        <v>44496</v>
      </c>
      <c r="D311" t="s">
        <v>146</v>
      </c>
      <c r="E311" t="s">
        <v>147</v>
      </c>
      <c r="F311" t="s">
        <v>47</v>
      </c>
      <c r="G311" t="s">
        <v>148</v>
      </c>
      <c r="H311">
        <v>5</v>
      </c>
      <c r="I311">
        <v>2019</v>
      </c>
      <c r="J311" t="s">
        <v>90</v>
      </c>
      <c r="K311">
        <v>20</v>
      </c>
      <c r="L311" s="1">
        <v>43616</v>
      </c>
      <c r="M311" s="1" t="s">
        <v>3154</v>
      </c>
      <c r="N311" t="s">
        <v>149</v>
      </c>
      <c r="O311" t="s">
        <v>3175</v>
      </c>
    </row>
    <row r="312" spans="1:15" x14ac:dyDescent="0.3">
      <c r="A312" t="s">
        <v>150</v>
      </c>
      <c r="B312">
        <v>6</v>
      </c>
      <c r="C312" s="1">
        <v>45240</v>
      </c>
      <c r="D312" t="s">
        <v>151</v>
      </c>
      <c r="E312" t="s">
        <v>152</v>
      </c>
      <c r="F312" t="s">
        <v>15</v>
      </c>
      <c r="G312" t="s">
        <v>105</v>
      </c>
      <c r="H312">
        <v>106</v>
      </c>
      <c r="I312">
        <v>2022</v>
      </c>
      <c r="J312" t="s">
        <v>153</v>
      </c>
      <c r="K312">
        <v>712</v>
      </c>
      <c r="L312" s="1">
        <v>44785</v>
      </c>
      <c r="M312" s="1" t="s">
        <v>3185</v>
      </c>
      <c r="N312" t="s">
        <v>154</v>
      </c>
      <c r="O312" t="s">
        <v>3175</v>
      </c>
    </row>
    <row r="313" spans="1:15" x14ac:dyDescent="0.3">
      <c r="A313" t="s">
        <v>155</v>
      </c>
      <c r="B313">
        <v>9</v>
      </c>
      <c r="C313" s="1">
        <v>44950</v>
      </c>
      <c r="D313" t="s">
        <v>156</v>
      </c>
      <c r="E313" t="s">
        <v>157</v>
      </c>
      <c r="F313" t="s">
        <v>15</v>
      </c>
      <c r="G313" t="s">
        <v>158</v>
      </c>
      <c r="H313">
        <v>152</v>
      </c>
      <c r="I313">
        <v>2018</v>
      </c>
      <c r="J313" t="s">
        <v>159</v>
      </c>
      <c r="K313">
        <v>89591</v>
      </c>
      <c r="L313" s="1">
        <v>43344</v>
      </c>
      <c r="M313" s="1" t="s">
        <v>3194</v>
      </c>
      <c r="N313" t="s">
        <v>69</v>
      </c>
      <c r="O313" t="s">
        <v>3149</v>
      </c>
    </row>
    <row r="314" spans="1:15" x14ac:dyDescent="0.3">
      <c r="A314" t="s">
        <v>160</v>
      </c>
      <c r="B314">
        <v>6</v>
      </c>
      <c r="C314" s="1">
        <v>44976</v>
      </c>
      <c r="D314" t="s">
        <v>161</v>
      </c>
      <c r="E314" t="s">
        <v>162</v>
      </c>
      <c r="F314" t="s">
        <v>15</v>
      </c>
      <c r="G314" t="s">
        <v>163</v>
      </c>
      <c r="H314">
        <v>117</v>
      </c>
      <c r="I314">
        <v>2023</v>
      </c>
      <c r="J314" t="s">
        <v>164</v>
      </c>
      <c r="K314">
        <v>49898</v>
      </c>
      <c r="L314" s="1">
        <v>44947</v>
      </c>
      <c r="M314" s="1" t="s">
        <v>3169</v>
      </c>
      <c r="N314" t="s">
        <v>165</v>
      </c>
      <c r="O314" t="s">
        <v>3149</v>
      </c>
    </row>
    <row r="315" spans="1:15" x14ac:dyDescent="0.3">
      <c r="A315" t="s">
        <v>166</v>
      </c>
      <c r="B315">
        <v>7</v>
      </c>
      <c r="C315" s="1">
        <v>44605</v>
      </c>
      <c r="D315" t="s">
        <v>167</v>
      </c>
      <c r="E315" t="s">
        <v>168</v>
      </c>
      <c r="F315" t="s">
        <v>15</v>
      </c>
      <c r="G315" t="s">
        <v>29</v>
      </c>
      <c r="H315">
        <v>111</v>
      </c>
      <c r="I315">
        <v>2021</v>
      </c>
      <c r="J315" t="s">
        <v>169</v>
      </c>
      <c r="K315">
        <v>158109</v>
      </c>
      <c r="L315" s="1">
        <v>44225</v>
      </c>
      <c r="M315" s="1" t="s">
        <v>3165</v>
      </c>
      <c r="N315" t="s">
        <v>170</v>
      </c>
      <c r="O315" t="s">
        <v>3175</v>
      </c>
    </row>
    <row r="316" spans="1:15" x14ac:dyDescent="0.3">
      <c r="A316" t="s">
        <v>171</v>
      </c>
      <c r="B316">
        <v>8</v>
      </c>
      <c r="C316" s="1">
        <v>44427</v>
      </c>
      <c r="D316" t="s">
        <v>172</v>
      </c>
      <c r="E316" t="s">
        <v>173</v>
      </c>
      <c r="F316" t="s">
        <v>15</v>
      </c>
      <c r="G316" t="s">
        <v>84</v>
      </c>
      <c r="H316">
        <v>128</v>
      </c>
      <c r="I316">
        <v>2021</v>
      </c>
      <c r="J316" t="s">
        <v>17</v>
      </c>
      <c r="K316">
        <v>90853</v>
      </c>
      <c r="L316" s="1">
        <v>44231</v>
      </c>
      <c r="M316" s="1" t="s">
        <v>3177</v>
      </c>
      <c r="N316" t="s">
        <v>174</v>
      </c>
      <c r="O316" t="s">
        <v>3149</v>
      </c>
    </row>
    <row r="317" spans="1:15" x14ac:dyDescent="0.3">
      <c r="A317" t="s">
        <v>180</v>
      </c>
      <c r="B317">
        <v>8</v>
      </c>
      <c r="C317" s="1">
        <v>44585</v>
      </c>
      <c r="D317" t="s">
        <v>181</v>
      </c>
      <c r="E317" t="s">
        <v>182</v>
      </c>
      <c r="F317" t="s">
        <v>15</v>
      </c>
      <c r="G317" t="s">
        <v>35</v>
      </c>
      <c r="H317">
        <v>101</v>
      </c>
      <c r="I317">
        <v>2020</v>
      </c>
      <c r="J317" t="s">
        <v>42</v>
      </c>
      <c r="K317">
        <v>12676</v>
      </c>
      <c r="L317" s="1">
        <v>44014</v>
      </c>
      <c r="M317" s="1" t="s">
        <v>3155</v>
      </c>
      <c r="N317" t="s">
        <v>183</v>
      </c>
      <c r="O317" t="s">
        <v>3149</v>
      </c>
    </row>
    <row r="318" spans="1:15" x14ac:dyDescent="0.3">
      <c r="A318" t="s">
        <v>190</v>
      </c>
      <c r="B318">
        <v>6</v>
      </c>
      <c r="C318" s="1">
        <v>44246</v>
      </c>
      <c r="D318" t="s">
        <v>191</v>
      </c>
      <c r="E318" t="s">
        <v>192</v>
      </c>
      <c r="F318" t="s">
        <v>15</v>
      </c>
      <c r="G318" t="s">
        <v>67</v>
      </c>
      <c r="H318">
        <v>90</v>
      </c>
      <c r="I318">
        <v>2019</v>
      </c>
      <c r="J318" t="s">
        <v>193</v>
      </c>
      <c r="K318">
        <v>104</v>
      </c>
      <c r="L318" s="1">
        <v>43661</v>
      </c>
      <c r="M318" s="1" t="s">
        <v>3154</v>
      </c>
      <c r="N318" t="s">
        <v>194</v>
      </c>
      <c r="O318" t="s">
        <v>3149</v>
      </c>
    </row>
    <row r="319" spans="1:15" x14ac:dyDescent="0.3">
      <c r="A319" t="s">
        <v>195</v>
      </c>
      <c r="B319">
        <v>7</v>
      </c>
      <c r="C319" s="1">
        <v>45113</v>
      </c>
      <c r="D319" t="s">
        <v>196</v>
      </c>
      <c r="E319" t="s">
        <v>197</v>
      </c>
      <c r="F319" t="s">
        <v>47</v>
      </c>
      <c r="G319" t="s">
        <v>198</v>
      </c>
      <c r="H319">
        <v>20</v>
      </c>
      <c r="I319">
        <v>2019</v>
      </c>
      <c r="J319" t="s">
        <v>199</v>
      </c>
      <c r="K319">
        <v>30</v>
      </c>
      <c r="L319" s="1">
        <v>43532</v>
      </c>
      <c r="M319" s="1" t="s">
        <v>3154</v>
      </c>
      <c r="N319" t="s">
        <v>200</v>
      </c>
      <c r="O319" t="s">
        <v>3149</v>
      </c>
    </row>
    <row r="320" spans="1:15" x14ac:dyDescent="0.3">
      <c r="A320" t="s">
        <v>201</v>
      </c>
      <c r="B320">
        <v>7</v>
      </c>
      <c r="C320" s="1">
        <v>44176</v>
      </c>
      <c r="D320" t="s">
        <v>202</v>
      </c>
      <c r="E320" t="s">
        <v>203</v>
      </c>
      <c r="F320" t="s">
        <v>15</v>
      </c>
      <c r="G320" t="s">
        <v>67</v>
      </c>
      <c r="H320">
        <v>131</v>
      </c>
      <c r="I320">
        <v>2020</v>
      </c>
      <c r="J320" t="s">
        <v>204</v>
      </c>
      <c r="K320">
        <v>81400</v>
      </c>
      <c r="L320" s="1">
        <v>44148</v>
      </c>
      <c r="M320" s="1" t="s">
        <v>3165</v>
      </c>
      <c r="N320" t="s">
        <v>205</v>
      </c>
      <c r="O320" t="s">
        <v>3149</v>
      </c>
    </row>
    <row r="321" spans="1:15" x14ac:dyDescent="0.3">
      <c r="A321" t="s">
        <v>209</v>
      </c>
      <c r="B321">
        <v>7</v>
      </c>
      <c r="C321" s="1">
        <v>44335</v>
      </c>
      <c r="D321" t="s">
        <v>210</v>
      </c>
      <c r="E321" t="s">
        <v>211</v>
      </c>
      <c r="F321" t="s">
        <v>15</v>
      </c>
      <c r="G321" t="s">
        <v>148</v>
      </c>
      <c r="H321">
        <v>115</v>
      </c>
      <c r="I321">
        <v>2020</v>
      </c>
      <c r="J321" t="s">
        <v>24</v>
      </c>
      <c r="K321">
        <v>93409</v>
      </c>
      <c r="L321" s="1">
        <v>43856</v>
      </c>
      <c r="M321" s="1" t="s">
        <v>3165</v>
      </c>
      <c r="N321" t="s">
        <v>212</v>
      </c>
      <c r="O321" t="s">
        <v>3149</v>
      </c>
    </row>
    <row r="322" spans="1:15" x14ac:dyDescent="0.3">
      <c r="A322" t="s">
        <v>213</v>
      </c>
      <c r="B322">
        <v>8</v>
      </c>
      <c r="C322" s="1">
        <v>44715</v>
      </c>
      <c r="D322" t="s">
        <v>214</v>
      </c>
      <c r="E322" t="s">
        <v>215</v>
      </c>
      <c r="F322" t="s">
        <v>216</v>
      </c>
      <c r="G322" t="s">
        <v>122</v>
      </c>
      <c r="H322">
        <v>240</v>
      </c>
      <c r="I322">
        <v>2022</v>
      </c>
      <c r="J322" t="s">
        <v>42</v>
      </c>
      <c r="K322">
        <v>73445</v>
      </c>
      <c r="L322" s="1">
        <v>44673</v>
      </c>
      <c r="M322" s="1" t="s">
        <v>3171</v>
      </c>
      <c r="N322" t="s">
        <v>3213</v>
      </c>
      <c r="O322" t="s">
        <v>3175</v>
      </c>
    </row>
    <row r="323" spans="1:15" x14ac:dyDescent="0.3">
      <c r="A323" t="s">
        <v>217</v>
      </c>
      <c r="B323">
        <v>8</v>
      </c>
      <c r="C323" s="1">
        <v>44965</v>
      </c>
      <c r="D323" t="s">
        <v>218</v>
      </c>
      <c r="E323" t="s">
        <v>219</v>
      </c>
      <c r="F323" t="s">
        <v>15</v>
      </c>
      <c r="G323" t="s">
        <v>198</v>
      </c>
      <c r="H323">
        <v>189</v>
      </c>
      <c r="I323">
        <v>2022</v>
      </c>
      <c r="J323" t="s">
        <v>220</v>
      </c>
      <c r="K323">
        <v>156647</v>
      </c>
      <c r="L323" s="1">
        <v>44910</v>
      </c>
      <c r="M323" s="1" t="s">
        <v>3165</v>
      </c>
      <c r="N323" t="s">
        <v>221</v>
      </c>
      <c r="O323" t="s">
        <v>3149</v>
      </c>
    </row>
    <row r="324" spans="1:15" x14ac:dyDescent="0.3">
      <c r="A324" t="s">
        <v>222</v>
      </c>
      <c r="B324">
        <v>8</v>
      </c>
      <c r="C324" s="1">
        <v>43612</v>
      </c>
      <c r="D324" t="s">
        <v>223</v>
      </c>
      <c r="E324" t="s">
        <v>224</v>
      </c>
      <c r="F324" t="s">
        <v>15</v>
      </c>
      <c r="G324" t="s">
        <v>67</v>
      </c>
      <c r="H324">
        <v>104</v>
      </c>
      <c r="I324">
        <v>2008</v>
      </c>
      <c r="J324" t="s">
        <v>225</v>
      </c>
      <c r="K324">
        <v>378718</v>
      </c>
      <c r="L324" s="1">
        <v>39791</v>
      </c>
      <c r="M324" s="1" t="s">
        <v>3165</v>
      </c>
      <c r="N324" t="s">
        <v>226</v>
      </c>
      <c r="O324" t="s">
        <v>3149</v>
      </c>
    </row>
    <row r="325" spans="1:15" x14ac:dyDescent="0.3">
      <c r="A325" t="s">
        <v>227</v>
      </c>
      <c r="B325">
        <v>7</v>
      </c>
      <c r="C325" s="1">
        <v>45161</v>
      </c>
      <c r="D325" t="s">
        <v>228</v>
      </c>
      <c r="E325" t="s">
        <v>229</v>
      </c>
      <c r="F325" t="s">
        <v>15</v>
      </c>
      <c r="G325" t="s">
        <v>67</v>
      </c>
      <c r="H325">
        <v>111</v>
      </c>
      <c r="I325">
        <v>2021</v>
      </c>
      <c r="J325" t="s">
        <v>230</v>
      </c>
      <c r="K325">
        <v>19249</v>
      </c>
      <c r="L325" s="1">
        <v>44441</v>
      </c>
      <c r="M325" s="1" t="s">
        <v>3171</v>
      </c>
      <c r="N325" t="s">
        <v>231</v>
      </c>
      <c r="O325" t="s">
        <v>3149</v>
      </c>
    </row>
    <row r="326" spans="1:15" x14ac:dyDescent="0.3">
      <c r="A326" t="s">
        <v>232</v>
      </c>
      <c r="B326">
        <v>7</v>
      </c>
      <c r="C326" s="1">
        <v>45128</v>
      </c>
      <c r="D326" t="s">
        <v>233</v>
      </c>
      <c r="E326" t="s">
        <v>234</v>
      </c>
      <c r="F326" t="s">
        <v>15</v>
      </c>
      <c r="G326" t="s">
        <v>187</v>
      </c>
      <c r="H326">
        <v>80</v>
      </c>
      <c r="I326">
        <v>2019</v>
      </c>
      <c r="J326" t="s">
        <v>235</v>
      </c>
      <c r="K326">
        <v>3064</v>
      </c>
      <c r="L326" s="1">
        <v>43714</v>
      </c>
      <c r="M326" s="1" t="s">
        <v>3171</v>
      </c>
      <c r="N326" t="s">
        <v>236</v>
      </c>
    </row>
    <row r="327" spans="1:15" x14ac:dyDescent="0.3">
      <c r="A327" t="s">
        <v>237</v>
      </c>
      <c r="B327">
        <v>7</v>
      </c>
      <c r="C327" s="1">
        <v>44324</v>
      </c>
      <c r="D327" t="s">
        <v>238</v>
      </c>
      <c r="E327" t="s">
        <v>239</v>
      </c>
      <c r="F327" t="s">
        <v>15</v>
      </c>
      <c r="G327" t="s">
        <v>84</v>
      </c>
      <c r="H327">
        <v>129</v>
      </c>
      <c r="I327">
        <v>2020</v>
      </c>
      <c r="J327" t="s">
        <v>240</v>
      </c>
      <c r="K327">
        <v>190146</v>
      </c>
      <c r="L327" s="1">
        <v>44099</v>
      </c>
      <c r="M327" s="1" t="s">
        <v>3165</v>
      </c>
      <c r="N327" t="s">
        <v>241</v>
      </c>
      <c r="O327" t="s">
        <v>3149</v>
      </c>
    </row>
    <row r="328" spans="1:15" x14ac:dyDescent="0.3">
      <c r="A328" t="s">
        <v>242</v>
      </c>
      <c r="B328">
        <v>7</v>
      </c>
      <c r="C328" s="1">
        <v>44939</v>
      </c>
      <c r="D328" t="s">
        <v>243</v>
      </c>
      <c r="E328" t="s">
        <v>244</v>
      </c>
      <c r="F328" t="s">
        <v>15</v>
      </c>
      <c r="G328" t="s">
        <v>116</v>
      </c>
      <c r="H328">
        <v>123</v>
      </c>
      <c r="I328">
        <v>2022</v>
      </c>
      <c r="J328" t="s">
        <v>178</v>
      </c>
      <c r="K328">
        <v>136706</v>
      </c>
      <c r="L328" s="1">
        <v>44809</v>
      </c>
      <c r="M328" s="1" t="s">
        <v>3165</v>
      </c>
      <c r="N328" t="s">
        <v>245</v>
      </c>
      <c r="O328" t="s">
        <v>3175</v>
      </c>
    </row>
    <row r="329" spans="1:15" x14ac:dyDescent="0.3">
      <c r="A329" t="s">
        <v>246</v>
      </c>
      <c r="B329">
        <v>7</v>
      </c>
      <c r="C329" s="1">
        <v>43881</v>
      </c>
      <c r="D329" t="s">
        <v>247</v>
      </c>
      <c r="E329" t="s">
        <v>248</v>
      </c>
      <c r="F329" t="s">
        <v>15</v>
      </c>
      <c r="G329" t="s">
        <v>84</v>
      </c>
      <c r="H329">
        <v>110</v>
      </c>
      <c r="I329">
        <v>2020</v>
      </c>
      <c r="J329" t="s">
        <v>235</v>
      </c>
      <c r="K329">
        <v>1170</v>
      </c>
      <c r="L329" s="1">
        <v>43860</v>
      </c>
      <c r="M329" s="1" t="s">
        <v>3154</v>
      </c>
      <c r="N329" t="s">
        <v>249</v>
      </c>
      <c r="O329" t="s">
        <v>3149</v>
      </c>
    </row>
    <row r="330" spans="1:15" x14ac:dyDescent="0.3">
      <c r="A330" t="s">
        <v>254</v>
      </c>
      <c r="B330">
        <v>7</v>
      </c>
      <c r="C330" s="1">
        <v>44100</v>
      </c>
      <c r="D330" t="s">
        <v>255</v>
      </c>
      <c r="E330" t="s">
        <v>256</v>
      </c>
      <c r="F330" t="s">
        <v>15</v>
      </c>
      <c r="G330" t="s">
        <v>35</v>
      </c>
      <c r="H330">
        <v>108</v>
      </c>
      <c r="I330">
        <v>2019</v>
      </c>
      <c r="J330" t="s">
        <v>193</v>
      </c>
      <c r="K330">
        <v>2609</v>
      </c>
      <c r="L330" s="1">
        <v>43712</v>
      </c>
      <c r="M330" s="1" t="s">
        <v>3154</v>
      </c>
      <c r="N330" t="s">
        <v>257</v>
      </c>
      <c r="O330" t="s">
        <v>3149</v>
      </c>
    </row>
    <row r="331" spans="1:15" x14ac:dyDescent="0.3">
      <c r="A331" t="s">
        <v>285</v>
      </c>
      <c r="B331">
        <v>6</v>
      </c>
      <c r="C331" s="1">
        <v>45251</v>
      </c>
      <c r="D331" t="s">
        <v>286</v>
      </c>
      <c r="E331" t="s">
        <v>287</v>
      </c>
      <c r="F331" t="s">
        <v>15</v>
      </c>
      <c r="G331" t="s">
        <v>67</v>
      </c>
      <c r="H331">
        <v>107</v>
      </c>
      <c r="I331">
        <v>2009</v>
      </c>
      <c r="J331" t="s">
        <v>17</v>
      </c>
      <c r="K331">
        <v>166572</v>
      </c>
      <c r="L331" s="1">
        <v>39832</v>
      </c>
      <c r="M331" s="1" t="s">
        <v>3165</v>
      </c>
      <c r="N331" t="s">
        <v>288</v>
      </c>
      <c r="O331" t="s">
        <v>3149</v>
      </c>
    </row>
    <row r="332" spans="1:15" x14ac:dyDescent="0.3">
      <c r="A332" t="s">
        <v>294</v>
      </c>
      <c r="B332">
        <v>6</v>
      </c>
      <c r="C332" s="1">
        <v>45113</v>
      </c>
      <c r="D332" t="s">
        <v>295</v>
      </c>
      <c r="E332" t="s">
        <v>296</v>
      </c>
      <c r="F332" t="s">
        <v>47</v>
      </c>
      <c r="G332" t="s">
        <v>79</v>
      </c>
      <c r="H332">
        <v>13</v>
      </c>
      <c r="I332">
        <v>2007</v>
      </c>
      <c r="J332" t="s">
        <v>297</v>
      </c>
      <c r="K332">
        <v>35711</v>
      </c>
      <c r="L332" s="1">
        <v>39328</v>
      </c>
      <c r="M332" s="1" t="s">
        <v>3165</v>
      </c>
      <c r="N332" t="s">
        <v>298</v>
      </c>
      <c r="O332" t="s">
        <v>3149</v>
      </c>
    </row>
    <row r="333" spans="1:15" x14ac:dyDescent="0.3">
      <c r="A333" t="s">
        <v>299</v>
      </c>
      <c r="B333">
        <v>7</v>
      </c>
      <c r="C333" s="1">
        <v>44429</v>
      </c>
      <c r="D333" t="s">
        <v>300</v>
      </c>
      <c r="E333" t="s">
        <v>301</v>
      </c>
      <c r="F333" t="s">
        <v>15</v>
      </c>
      <c r="G333" t="s">
        <v>73</v>
      </c>
      <c r="H333">
        <v>108</v>
      </c>
      <c r="I333">
        <v>2021</v>
      </c>
      <c r="J333" t="s">
        <v>302</v>
      </c>
      <c r="K333">
        <v>54049</v>
      </c>
      <c r="L333" s="1">
        <v>44390</v>
      </c>
      <c r="M333" s="1" t="s">
        <v>3155</v>
      </c>
      <c r="N333" t="s">
        <v>303</v>
      </c>
      <c r="O333" t="s">
        <v>3175</v>
      </c>
    </row>
    <row r="334" spans="1:15" x14ac:dyDescent="0.3">
      <c r="A334" t="s">
        <v>304</v>
      </c>
      <c r="B334">
        <v>7</v>
      </c>
      <c r="C334" s="1">
        <v>44640</v>
      </c>
      <c r="D334" t="s">
        <v>305</v>
      </c>
      <c r="E334" t="s">
        <v>306</v>
      </c>
      <c r="F334" t="s">
        <v>15</v>
      </c>
      <c r="G334" t="s">
        <v>148</v>
      </c>
      <c r="H334">
        <v>109</v>
      </c>
      <c r="I334">
        <v>2021</v>
      </c>
      <c r="J334" t="s">
        <v>24</v>
      </c>
      <c r="K334">
        <v>37362</v>
      </c>
      <c r="L334" s="1">
        <v>44441</v>
      </c>
      <c r="M334" s="1" t="s">
        <v>3165</v>
      </c>
      <c r="N334" t="s">
        <v>307</v>
      </c>
      <c r="O334" t="s">
        <v>3149</v>
      </c>
    </row>
    <row r="335" spans="1:15" x14ac:dyDescent="0.3">
      <c r="A335" t="s">
        <v>318</v>
      </c>
      <c r="B335">
        <v>7</v>
      </c>
      <c r="C335" s="1">
        <v>44423</v>
      </c>
      <c r="D335" t="s">
        <v>319</v>
      </c>
      <c r="E335" t="s">
        <v>320</v>
      </c>
      <c r="F335" t="s">
        <v>15</v>
      </c>
      <c r="G335" t="s">
        <v>67</v>
      </c>
      <c r="H335">
        <v>92</v>
      </c>
      <c r="I335">
        <v>2021</v>
      </c>
      <c r="J335" t="s">
        <v>261</v>
      </c>
      <c r="K335">
        <v>3774</v>
      </c>
      <c r="L335" s="1">
        <v>44358</v>
      </c>
      <c r="M335" s="1" t="s">
        <v>3180</v>
      </c>
      <c r="N335" t="s">
        <v>321</v>
      </c>
      <c r="O335" t="s">
        <v>3149</v>
      </c>
    </row>
    <row r="336" spans="1:15" x14ac:dyDescent="0.3">
      <c r="A336" t="s">
        <v>343</v>
      </c>
      <c r="B336">
        <v>6</v>
      </c>
      <c r="C336" s="1">
        <v>45178</v>
      </c>
      <c r="D336" t="s">
        <v>344</v>
      </c>
      <c r="E336" t="s">
        <v>345</v>
      </c>
      <c r="F336" t="s">
        <v>15</v>
      </c>
      <c r="G336" t="s">
        <v>346</v>
      </c>
      <c r="H336">
        <v>119</v>
      </c>
      <c r="I336">
        <v>2010</v>
      </c>
      <c r="J336" t="s">
        <v>347</v>
      </c>
      <c r="K336">
        <v>91914</v>
      </c>
      <c r="L336" s="1">
        <v>40506</v>
      </c>
      <c r="M336" s="1" t="s">
        <v>3165</v>
      </c>
      <c r="N336" t="s">
        <v>348</v>
      </c>
      <c r="O336" t="s">
        <v>3149</v>
      </c>
    </row>
    <row r="337" spans="1:15" x14ac:dyDescent="0.3">
      <c r="A337" t="s">
        <v>353</v>
      </c>
      <c r="B337">
        <v>6</v>
      </c>
      <c r="C337" s="1">
        <v>44627</v>
      </c>
      <c r="D337" t="s">
        <v>354</v>
      </c>
      <c r="E337" t="s">
        <v>355</v>
      </c>
      <c r="F337" t="s">
        <v>15</v>
      </c>
      <c r="G337" t="s">
        <v>198</v>
      </c>
      <c r="H337">
        <v>133</v>
      </c>
      <c r="I337">
        <v>2021</v>
      </c>
      <c r="J337" t="s">
        <v>17</v>
      </c>
      <c r="K337">
        <v>136487</v>
      </c>
      <c r="L337" s="1">
        <v>44520</v>
      </c>
      <c r="M337" s="1" t="s">
        <v>3165</v>
      </c>
      <c r="N337" t="s">
        <v>356</v>
      </c>
      <c r="O337" t="s">
        <v>3149</v>
      </c>
    </row>
    <row r="338" spans="1:15" x14ac:dyDescent="0.3">
      <c r="A338" t="s">
        <v>357</v>
      </c>
      <c r="B338">
        <v>8</v>
      </c>
      <c r="C338" s="1">
        <v>44557</v>
      </c>
      <c r="D338" t="s">
        <v>358</v>
      </c>
      <c r="E338" t="s">
        <v>359</v>
      </c>
      <c r="F338" t="s">
        <v>15</v>
      </c>
      <c r="G338" t="s">
        <v>79</v>
      </c>
      <c r="H338">
        <v>138</v>
      </c>
      <c r="I338">
        <v>2021</v>
      </c>
      <c r="J338" t="s">
        <v>360</v>
      </c>
      <c r="K338">
        <v>582365</v>
      </c>
      <c r="L338" s="1">
        <v>44535</v>
      </c>
      <c r="M338" s="1" t="s">
        <v>3165</v>
      </c>
      <c r="N338" t="s">
        <v>361</v>
      </c>
      <c r="O338" t="s">
        <v>3149</v>
      </c>
    </row>
    <row r="339" spans="1:15" x14ac:dyDescent="0.3">
      <c r="A339" t="s">
        <v>366</v>
      </c>
      <c r="B339">
        <v>7</v>
      </c>
      <c r="C339" s="1">
        <v>44810</v>
      </c>
      <c r="D339" t="s">
        <v>367</v>
      </c>
      <c r="E339" t="s">
        <v>368</v>
      </c>
      <c r="F339" t="s">
        <v>15</v>
      </c>
      <c r="G339" t="s">
        <v>369</v>
      </c>
      <c r="H339">
        <v>138</v>
      </c>
      <c r="I339">
        <v>2010</v>
      </c>
      <c r="J339" t="s">
        <v>370</v>
      </c>
      <c r="K339">
        <v>1421055</v>
      </c>
      <c r="L339" s="1">
        <v>40222</v>
      </c>
      <c r="M339" s="1" t="s">
        <v>3165</v>
      </c>
      <c r="N339" t="s">
        <v>371</v>
      </c>
      <c r="O339" t="s">
        <v>3149</v>
      </c>
    </row>
    <row r="340" spans="1:15" x14ac:dyDescent="0.3">
      <c r="A340" t="s">
        <v>372</v>
      </c>
      <c r="B340">
        <v>7</v>
      </c>
      <c r="C340" s="1">
        <v>44931</v>
      </c>
      <c r="D340" t="s">
        <v>373</v>
      </c>
      <c r="E340" t="s">
        <v>374</v>
      </c>
      <c r="F340" t="s">
        <v>15</v>
      </c>
      <c r="G340" t="s">
        <v>198</v>
      </c>
      <c r="H340">
        <v>77</v>
      </c>
      <c r="I340">
        <v>2020</v>
      </c>
      <c r="J340" t="s">
        <v>261</v>
      </c>
      <c r="K340">
        <v>30910</v>
      </c>
      <c r="L340" s="1">
        <v>43905</v>
      </c>
      <c r="M340" s="1" t="s">
        <v>3165</v>
      </c>
      <c r="N340" t="s">
        <v>375</v>
      </c>
      <c r="O340" t="s">
        <v>3149</v>
      </c>
    </row>
    <row r="341" spans="1:15" x14ac:dyDescent="0.3">
      <c r="A341" t="s">
        <v>376</v>
      </c>
      <c r="B341">
        <v>6</v>
      </c>
      <c r="C341" s="1">
        <v>43697</v>
      </c>
      <c r="D341" s="3" t="s">
        <v>377</v>
      </c>
      <c r="E341" t="s">
        <v>378</v>
      </c>
      <c r="F341" t="s">
        <v>15</v>
      </c>
      <c r="G341" t="s">
        <v>379</v>
      </c>
      <c r="H341">
        <v>98</v>
      </c>
      <c r="I341">
        <v>2017</v>
      </c>
      <c r="J341" t="s">
        <v>380</v>
      </c>
      <c r="K341">
        <v>25316</v>
      </c>
      <c r="L341" s="1">
        <v>42915</v>
      </c>
      <c r="M341" s="1" t="s">
        <v>3165</v>
      </c>
      <c r="N341" t="s">
        <v>381</v>
      </c>
      <c r="O341" t="s">
        <v>3149</v>
      </c>
    </row>
    <row r="342" spans="1:15" x14ac:dyDescent="0.3">
      <c r="A342" t="s">
        <v>386</v>
      </c>
      <c r="B342">
        <v>6</v>
      </c>
      <c r="C342" s="1">
        <v>44124</v>
      </c>
      <c r="D342" t="s">
        <v>387</v>
      </c>
      <c r="E342" t="s">
        <v>388</v>
      </c>
      <c r="F342" t="s">
        <v>15</v>
      </c>
      <c r="G342" t="s">
        <v>16</v>
      </c>
      <c r="H342">
        <v>110</v>
      </c>
      <c r="I342">
        <v>2019</v>
      </c>
      <c r="J342" t="s">
        <v>389</v>
      </c>
      <c r="K342">
        <v>581</v>
      </c>
      <c r="L342" s="1">
        <v>43803</v>
      </c>
      <c r="M342" s="1" t="s">
        <v>3154</v>
      </c>
      <c r="N342" t="s">
        <v>390</v>
      </c>
      <c r="O342" t="s">
        <v>3149</v>
      </c>
    </row>
    <row r="343" spans="1:15" x14ac:dyDescent="0.3">
      <c r="A343" t="s">
        <v>391</v>
      </c>
      <c r="B343">
        <v>7</v>
      </c>
      <c r="C343" s="1">
        <v>44550</v>
      </c>
      <c r="D343" t="s">
        <v>392</v>
      </c>
      <c r="E343" t="s">
        <v>393</v>
      </c>
      <c r="F343" t="s">
        <v>15</v>
      </c>
      <c r="G343" t="s">
        <v>56</v>
      </c>
      <c r="H343">
        <v>92</v>
      </c>
      <c r="I343">
        <v>2020</v>
      </c>
      <c r="J343" t="s">
        <v>394</v>
      </c>
      <c r="K343">
        <v>5428</v>
      </c>
      <c r="L343" s="1">
        <v>43857</v>
      </c>
      <c r="M343" s="1" t="s">
        <v>3165</v>
      </c>
      <c r="N343" t="s">
        <v>395</v>
      </c>
      <c r="O343" t="s">
        <v>3149</v>
      </c>
    </row>
    <row r="344" spans="1:15" x14ac:dyDescent="0.3">
      <c r="A344" t="s">
        <v>396</v>
      </c>
      <c r="B344">
        <v>6</v>
      </c>
      <c r="C344" s="1">
        <v>45161</v>
      </c>
      <c r="D344" t="s">
        <v>397</v>
      </c>
      <c r="E344" t="s">
        <v>398</v>
      </c>
      <c r="F344" t="s">
        <v>15</v>
      </c>
      <c r="G344" t="s">
        <v>61</v>
      </c>
      <c r="H344">
        <v>114</v>
      </c>
      <c r="I344">
        <v>2008</v>
      </c>
      <c r="J344" t="s">
        <v>399</v>
      </c>
      <c r="K344">
        <v>224930</v>
      </c>
      <c r="L344" s="1">
        <v>39473</v>
      </c>
      <c r="M344" s="1" t="s">
        <v>3186</v>
      </c>
      <c r="N344" t="s">
        <v>400</v>
      </c>
      <c r="O344" t="s">
        <v>3149</v>
      </c>
    </row>
    <row r="345" spans="1:15" x14ac:dyDescent="0.3">
      <c r="A345" t="s">
        <v>401</v>
      </c>
      <c r="B345">
        <v>6</v>
      </c>
      <c r="C345" s="1">
        <v>43853</v>
      </c>
      <c r="D345" t="s">
        <v>402</v>
      </c>
      <c r="E345" t="s">
        <v>403</v>
      </c>
      <c r="F345" t="s">
        <v>15</v>
      </c>
      <c r="G345" t="s">
        <v>346</v>
      </c>
      <c r="H345">
        <v>103</v>
      </c>
      <c r="I345">
        <v>2020</v>
      </c>
      <c r="J345" t="s">
        <v>404</v>
      </c>
      <c r="K345">
        <v>722</v>
      </c>
      <c r="L345" s="1">
        <v>43846</v>
      </c>
      <c r="M345" s="1" t="s">
        <v>3154</v>
      </c>
      <c r="N345" t="s">
        <v>405</v>
      </c>
      <c r="O345" t="s">
        <v>3175</v>
      </c>
    </row>
    <row r="346" spans="1:15" x14ac:dyDescent="0.3">
      <c r="A346" t="s">
        <v>410</v>
      </c>
      <c r="B346">
        <v>7</v>
      </c>
      <c r="C346" s="1">
        <v>44131</v>
      </c>
      <c r="D346" t="s">
        <v>411</v>
      </c>
      <c r="E346" t="s">
        <v>412</v>
      </c>
      <c r="F346" t="s">
        <v>15</v>
      </c>
      <c r="G346" t="s">
        <v>143</v>
      </c>
      <c r="H346">
        <v>72</v>
      </c>
      <c r="I346">
        <v>2020</v>
      </c>
      <c r="J346" t="s">
        <v>96</v>
      </c>
      <c r="K346">
        <v>43</v>
      </c>
      <c r="L346" s="1">
        <v>44066</v>
      </c>
      <c r="M346" s="1" t="s">
        <v>3154</v>
      </c>
      <c r="N346" t="s">
        <v>413</v>
      </c>
      <c r="O346" t="s">
        <v>3149</v>
      </c>
    </row>
    <row r="347" spans="1:15" x14ac:dyDescent="0.3">
      <c r="A347" t="s">
        <v>418</v>
      </c>
      <c r="B347">
        <v>5</v>
      </c>
      <c r="C347" s="1">
        <v>43694</v>
      </c>
      <c r="D347" t="s">
        <v>419</v>
      </c>
      <c r="E347" t="s">
        <v>420</v>
      </c>
      <c r="F347" t="s">
        <v>15</v>
      </c>
      <c r="G347" t="s">
        <v>417</v>
      </c>
      <c r="H347">
        <v>82</v>
      </c>
      <c r="I347">
        <v>2009</v>
      </c>
      <c r="J347" t="s">
        <v>421</v>
      </c>
      <c r="K347">
        <v>113525</v>
      </c>
      <c r="L347" s="1">
        <v>40051</v>
      </c>
      <c r="M347" s="1" t="s">
        <v>3165</v>
      </c>
      <c r="N347" t="s">
        <v>422</v>
      </c>
      <c r="O347" t="s">
        <v>3149</v>
      </c>
    </row>
    <row r="348" spans="1:15" x14ac:dyDescent="0.3">
      <c r="A348" t="s">
        <v>428</v>
      </c>
      <c r="B348">
        <v>6</v>
      </c>
      <c r="C348" s="1">
        <v>44550</v>
      </c>
      <c r="D348" t="s">
        <v>429</v>
      </c>
      <c r="E348" t="s">
        <v>430</v>
      </c>
      <c r="F348" t="s">
        <v>15</v>
      </c>
      <c r="G348" t="s">
        <v>73</v>
      </c>
      <c r="H348">
        <v>83</v>
      </c>
      <c r="I348">
        <v>2020</v>
      </c>
      <c r="J348" t="s">
        <v>431</v>
      </c>
      <c r="K348">
        <v>415</v>
      </c>
      <c r="L348" s="1">
        <v>43983</v>
      </c>
      <c r="M348" s="1" t="s">
        <v>3171</v>
      </c>
      <c r="N348" t="s">
        <v>432</v>
      </c>
      <c r="O348" t="s">
        <v>3149</v>
      </c>
    </row>
    <row r="349" spans="1:15" x14ac:dyDescent="0.3">
      <c r="A349" t="s">
        <v>440</v>
      </c>
      <c r="B349">
        <v>6</v>
      </c>
      <c r="C349" s="1">
        <v>44500</v>
      </c>
      <c r="D349" t="s">
        <v>441</v>
      </c>
      <c r="E349" t="s">
        <v>442</v>
      </c>
      <c r="F349" t="s">
        <v>15</v>
      </c>
      <c r="G349" t="s">
        <v>29</v>
      </c>
      <c r="H349">
        <v>155</v>
      </c>
      <c r="I349">
        <v>2021</v>
      </c>
      <c r="J349" t="s">
        <v>443</v>
      </c>
      <c r="K349">
        <v>738431</v>
      </c>
      <c r="L349" s="1">
        <v>44442</v>
      </c>
      <c r="M349" s="1" t="s">
        <v>3165</v>
      </c>
      <c r="N349" t="s">
        <v>444</v>
      </c>
      <c r="O349" t="s">
        <v>3149</v>
      </c>
    </row>
    <row r="350" spans="1:15" x14ac:dyDescent="0.3">
      <c r="A350" t="s">
        <v>453</v>
      </c>
      <c r="B350">
        <v>6</v>
      </c>
      <c r="C350" s="1">
        <v>44814</v>
      </c>
      <c r="D350" t="s">
        <v>454</v>
      </c>
      <c r="E350" t="s">
        <v>455</v>
      </c>
      <c r="F350" t="s">
        <v>47</v>
      </c>
      <c r="G350" t="s">
        <v>35</v>
      </c>
      <c r="H350">
        <v>30</v>
      </c>
      <c r="I350">
        <v>2020</v>
      </c>
      <c r="J350" t="s">
        <v>456</v>
      </c>
      <c r="K350">
        <v>8134</v>
      </c>
      <c r="L350" s="1">
        <v>44077</v>
      </c>
      <c r="M350" s="1" t="s">
        <v>3159</v>
      </c>
      <c r="N350" t="s">
        <v>457</v>
      </c>
      <c r="O350" t="s">
        <v>3149</v>
      </c>
    </row>
    <row r="351" spans="1:15" x14ac:dyDescent="0.3">
      <c r="A351" t="s">
        <v>458</v>
      </c>
      <c r="B351">
        <v>4</v>
      </c>
      <c r="C351" s="1">
        <v>44130</v>
      </c>
      <c r="D351" t="s">
        <v>459</v>
      </c>
      <c r="E351" t="s">
        <v>460</v>
      </c>
      <c r="F351" t="s">
        <v>15</v>
      </c>
      <c r="G351" t="s">
        <v>461</v>
      </c>
      <c r="H351">
        <v>104</v>
      </c>
      <c r="I351">
        <v>2020</v>
      </c>
      <c r="J351" t="s">
        <v>462</v>
      </c>
      <c r="K351">
        <v>243</v>
      </c>
      <c r="L351" s="1">
        <v>43882</v>
      </c>
      <c r="M351" s="1" t="s">
        <v>3154</v>
      </c>
      <c r="N351" t="s">
        <v>463</v>
      </c>
      <c r="O351" t="s">
        <v>3149</v>
      </c>
    </row>
    <row r="352" spans="1:15" x14ac:dyDescent="0.3">
      <c r="A352" t="s">
        <v>464</v>
      </c>
      <c r="B352">
        <v>8</v>
      </c>
      <c r="C352" s="1">
        <v>44380</v>
      </c>
      <c r="D352" t="s">
        <v>465</v>
      </c>
      <c r="E352" t="s">
        <v>466</v>
      </c>
      <c r="F352" t="s">
        <v>216</v>
      </c>
      <c r="G352" t="s">
        <v>29</v>
      </c>
      <c r="H352">
        <v>167</v>
      </c>
      <c r="I352">
        <v>2019</v>
      </c>
      <c r="J352" t="s">
        <v>467</v>
      </c>
      <c r="K352">
        <v>206</v>
      </c>
      <c r="L352" s="1">
        <v>43830</v>
      </c>
      <c r="M352" s="1" t="s">
        <v>3155</v>
      </c>
      <c r="N352" t="s">
        <v>3214</v>
      </c>
      <c r="O352" t="s">
        <v>3149</v>
      </c>
    </row>
    <row r="353" spans="1:15" x14ac:dyDescent="0.3">
      <c r="A353" t="s">
        <v>468</v>
      </c>
      <c r="B353">
        <v>6</v>
      </c>
      <c r="C353" s="1">
        <v>44837</v>
      </c>
      <c r="D353" t="s">
        <v>469</v>
      </c>
      <c r="E353" t="s">
        <v>470</v>
      </c>
      <c r="F353" t="s">
        <v>15</v>
      </c>
      <c r="G353" t="s">
        <v>116</v>
      </c>
      <c r="H353">
        <v>93</v>
      </c>
      <c r="I353">
        <v>2019</v>
      </c>
      <c r="J353" t="s">
        <v>96</v>
      </c>
      <c r="K353">
        <v>18</v>
      </c>
      <c r="L353" s="1">
        <v>43764</v>
      </c>
      <c r="M353" s="1" t="s">
        <v>3154</v>
      </c>
      <c r="N353" t="s">
        <v>471</v>
      </c>
      <c r="O353" t="s">
        <v>3175</v>
      </c>
    </row>
    <row r="354" spans="1:15" x14ac:dyDescent="0.3">
      <c r="A354" t="s">
        <v>472</v>
      </c>
      <c r="B354">
        <v>7</v>
      </c>
      <c r="C354" s="1">
        <v>44488</v>
      </c>
      <c r="D354" t="s">
        <v>473</v>
      </c>
      <c r="E354" t="s">
        <v>474</v>
      </c>
      <c r="F354" t="s">
        <v>15</v>
      </c>
      <c r="G354" t="s">
        <v>16</v>
      </c>
      <c r="H354">
        <v>75</v>
      </c>
      <c r="I354">
        <v>2019</v>
      </c>
      <c r="J354" t="s">
        <v>96</v>
      </c>
      <c r="K354">
        <v>54</v>
      </c>
      <c r="L354" s="1">
        <v>43787</v>
      </c>
      <c r="M354" s="1" t="s">
        <v>3154</v>
      </c>
      <c r="N354" t="s">
        <v>475</v>
      </c>
      <c r="O354" t="s">
        <v>3175</v>
      </c>
    </row>
    <row r="355" spans="1:15" x14ac:dyDescent="0.3">
      <c r="A355" t="s">
        <v>476</v>
      </c>
      <c r="B355">
        <v>4</v>
      </c>
      <c r="C355" s="1">
        <v>44350</v>
      </c>
      <c r="D355" t="s">
        <v>477</v>
      </c>
      <c r="E355" t="s">
        <v>478</v>
      </c>
      <c r="F355" t="s">
        <v>15</v>
      </c>
      <c r="G355" t="s">
        <v>379</v>
      </c>
      <c r="H355">
        <v>89</v>
      </c>
      <c r="I355">
        <v>2020</v>
      </c>
      <c r="J355" t="s">
        <v>24</v>
      </c>
      <c r="K355">
        <v>35</v>
      </c>
      <c r="L355" s="1">
        <v>44152</v>
      </c>
      <c r="M355" s="1" t="s">
        <v>3180</v>
      </c>
      <c r="N355" t="s">
        <v>479</v>
      </c>
      <c r="O355" t="s">
        <v>3149</v>
      </c>
    </row>
    <row r="356" spans="1:15" x14ac:dyDescent="0.3">
      <c r="A356" t="s">
        <v>484</v>
      </c>
      <c r="B356">
        <v>8</v>
      </c>
      <c r="C356" s="1">
        <v>45103</v>
      </c>
      <c r="D356" t="s">
        <v>485</v>
      </c>
      <c r="E356" t="s">
        <v>486</v>
      </c>
      <c r="F356" t="s">
        <v>15</v>
      </c>
      <c r="G356" t="s">
        <v>79</v>
      </c>
      <c r="H356">
        <v>103</v>
      </c>
      <c r="I356">
        <v>2016</v>
      </c>
      <c r="J356" t="s">
        <v>487</v>
      </c>
      <c r="K356">
        <v>349192</v>
      </c>
      <c r="L356" s="1">
        <v>42437</v>
      </c>
      <c r="M356" s="1" t="s">
        <v>3165</v>
      </c>
      <c r="N356" t="s">
        <v>488</v>
      </c>
      <c r="O356" t="s">
        <v>3149</v>
      </c>
    </row>
    <row r="357" spans="1:15" x14ac:dyDescent="0.3">
      <c r="A357" t="s">
        <v>493</v>
      </c>
      <c r="B357">
        <v>6</v>
      </c>
      <c r="C357" s="1">
        <v>44928</v>
      </c>
      <c r="D357" t="s">
        <v>494</v>
      </c>
      <c r="E357" t="s">
        <v>495</v>
      </c>
      <c r="F357" t="s">
        <v>15</v>
      </c>
      <c r="G357" t="s">
        <v>84</v>
      </c>
      <c r="H357">
        <v>114</v>
      </c>
      <c r="I357">
        <v>2022</v>
      </c>
      <c r="J357" t="s">
        <v>261</v>
      </c>
      <c r="K357">
        <v>237912</v>
      </c>
      <c r="L357" s="1">
        <v>44809</v>
      </c>
      <c r="M357" s="1" t="s">
        <v>3176</v>
      </c>
      <c r="N357" t="s">
        <v>496</v>
      </c>
      <c r="O357" t="s">
        <v>3149</v>
      </c>
    </row>
    <row r="358" spans="1:15" x14ac:dyDescent="0.3">
      <c r="A358" t="s">
        <v>514</v>
      </c>
      <c r="B358">
        <v>7</v>
      </c>
      <c r="C358" s="1">
        <v>44483</v>
      </c>
      <c r="D358" t="s">
        <v>515</v>
      </c>
      <c r="E358" t="s">
        <v>516</v>
      </c>
      <c r="F358" t="s">
        <v>15</v>
      </c>
      <c r="G358" t="s">
        <v>79</v>
      </c>
      <c r="H358">
        <v>161</v>
      </c>
      <c r="I358">
        <v>2009</v>
      </c>
      <c r="J358" t="s">
        <v>517</v>
      </c>
      <c r="K358">
        <v>86684</v>
      </c>
      <c r="L358" s="1">
        <v>39955</v>
      </c>
      <c r="M358" s="1" t="s">
        <v>3155</v>
      </c>
      <c r="N358" t="s">
        <v>118</v>
      </c>
      <c r="O358" t="s">
        <v>3149</v>
      </c>
    </row>
    <row r="359" spans="1:15" x14ac:dyDescent="0.3">
      <c r="A359" t="s">
        <v>521</v>
      </c>
      <c r="B359">
        <v>6</v>
      </c>
      <c r="C359" s="1">
        <v>44933</v>
      </c>
      <c r="D359" t="s">
        <v>522</v>
      </c>
      <c r="E359" t="s">
        <v>523</v>
      </c>
      <c r="F359" t="s">
        <v>15</v>
      </c>
      <c r="G359" t="s">
        <v>524</v>
      </c>
      <c r="H359">
        <v>114</v>
      </c>
      <c r="I359">
        <v>2022</v>
      </c>
      <c r="J359" t="s">
        <v>230</v>
      </c>
      <c r="K359">
        <v>9097</v>
      </c>
      <c r="L359" s="1">
        <v>44701</v>
      </c>
      <c r="M359" s="1" t="s">
        <v>3180</v>
      </c>
      <c r="N359" t="s">
        <v>525</v>
      </c>
      <c r="O359" t="s">
        <v>3175</v>
      </c>
    </row>
    <row r="360" spans="1:15" x14ac:dyDescent="0.3">
      <c r="A360" t="s">
        <v>548</v>
      </c>
      <c r="B360">
        <v>9</v>
      </c>
      <c r="C360" s="1">
        <v>44393</v>
      </c>
      <c r="D360" t="s">
        <v>549</v>
      </c>
      <c r="E360" t="s">
        <v>550</v>
      </c>
      <c r="F360" t="s">
        <v>551</v>
      </c>
      <c r="G360" t="s">
        <v>369</v>
      </c>
      <c r="H360">
        <v>60</v>
      </c>
      <c r="I360">
        <v>2020</v>
      </c>
      <c r="J360" t="s">
        <v>235</v>
      </c>
      <c r="K360">
        <v>6342</v>
      </c>
      <c r="L360" s="1">
        <v>43925</v>
      </c>
      <c r="M360" s="1" t="s">
        <v>3165</v>
      </c>
      <c r="N360" t="s">
        <v>552</v>
      </c>
      <c r="O360" t="s">
        <v>3149</v>
      </c>
    </row>
    <row r="361" spans="1:15" x14ac:dyDescent="0.3">
      <c r="A361" t="s">
        <v>558</v>
      </c>
      <c r="B361">
        <v>7</v>
      </c>
      <c r="C361" s="1">
        <v>43958</v>
      </c>
      <c r="D361" t="s">
        <v>559</v>
      </c>
      <c r="E361" t="s">
        <v>560</v>
      </c>
      <c r="F361" t="s">
        <v>216</v>
      </c>
      <c r="G361" t="s">
        <v>284</v>
      </c>
      <c r="H361">
        <f>12*47</f>
        <v>564</v>
      </c>
      <c r="I361">
        <v>2020</v>
      </c>
      <c r="J361" t="s">
        <v>261</v>
      </c>
      <c r="K361">
        <v>895</v>
      </c>
      <c r="L361" s="1">
        <v>43892</v>
      </c>
      <c r="M361" s="1" t="s">
        <v>3154</v>
      </c>
      <c r="N361" t="s">
        <v>3196</v>
      </c>
      <c r="O361" t="s">
        <v>3175</v>
      </c>
    </row>
    <row r="362" spans="1:15" x14ac:dyDescent="0.3">
      <c r="A362" t="s">
        <v>566</v>
      </c>
      <c r="B362">
        <v>8</v>
      </c>
      <c r="C362" s="1">
        <v>44205</v>
      </c>
      <c r="D362" t="s">
        <v>567</v>
      </c>
      <c r="E362" t="s">
        <v>568</v>
      </c>
      <c r="F362" t="s">
        <v>15</v>
      </c>
      <c r="G362" t="s">
        <v>35</v>
      </c>
      <c r="H362">
        <v>90</v>
      </c>
      <c r="I362">
        <v>2020</v>
      </c>
      <c r="J362" t="s">
        <v>569</v>
      </c>
      <c r="K362">
        <v>604</v>
      </c>
      <c r="L362" s="1">
        <v>44182</v>
      </c>
      <c r="M362" s="1" t="s">
        <v>3154</v>
      </c>
      <c r="N362" t="s">
        <v>570</v>
      </c>
      <c r="O362" t="s">
        <v>3149</v>
      </c>
    </row>
    <row r="363" spans="1:15" x14ac:dyDescent="0.3">
      <c r="A363" t="s">
        <v>571</v>
      </c>
      <c r="B363">
        <v>7</v>
      </c>
      <c r="C363" s="1">
        <v>44627</v>
      </c>
      <c r="D363" t="s">
        <v>572</v>
      </c>
      <c r="E363" t="s">
        <v>573</v>
      </c>
      <c r="F363" t="s">
        <v>15</v>
      </c>
      <c r="G363" t="s">
        <v>148</v>
      </c>
      <c r="H363">
        <v>120</v>
      </c>
      <c r="I363">
        <v>2018</v>
      </c>
      <c r="J363" t="s">
        <v>574</v>
      </c>
      <c r="K363">
        <v>94168</v>
      </c>
      <c r="L363" s="1">
        <v>43350</v>
      </c>
      <c r="M363" s="1" t="s">
        <v>3165</v>
      </c>
      <c r="N363" t="s">
        <v>575</v>
      </c>
      <c r="O363" t="s">
        <v>3149</v>
      </c>
    </row>
    <row r="364" spans="1:15" x14ac:dyDescent="0.3">
      <c r="A364" t="s">
        <v>576</v>
      </c>
      <c r="B364">
        <v>5</v>
      </c>
      <c r="C364" s="1">
        <v>44372</v>
      </c>
      <c r="D364" t="s">
        <v>577</v>
      </c>
      <c r="E364" t="s">
        <v>578</v>
      </c>
      <c r="F364" t="s">
        <v>15</v>
      </c>
      <c r="G364" t="s">
        <v>16</v>
      </c>
      <c r="H364">
        <v>73</v>
      </c>
      <c r="I364">
        <v>2020</v>
      </c>
      <c r="J364" t="s">
        <v>96</v>
      </c>
      <c r="K364">
        <v>140</v>
      </c>
      <c r="L364" s="1">
        <v>44070</v>
      </c>
      <c r="M364" s="1" t="s">
        <v>3154</v>
      </c>
      <c r="N364" t="s">
        <v>579</v>
      </c>
      <c r="O364" t="s">
        <v>3149</v>
      </c>
    </row>
    <row r="365" spans="1:15" x14ac:dyDescent="0.3">
      <c r="A365" t="s">
        <v>586</v>
      </c>
      <c r="B365">
        <v>7</v>
      </c>
      <c r="C365" s="1">
        <v>45214</v>
      </c>
      <c r="D365" t="s">
        <v>587</v>
      </c>
      <c r="E365" t="s">
        <v>588</v>
      </c>
      <c r="F365" t="s">
        <v>15</v>
      </c>
      <c r="G365" t="s">
        <v>56</v>
      </c>
      <c r="H365">
        <v>112</v>
      </c>
      <c r="I365">
        <v>2011</v>
      </c>
      <c r="J365" t="s">
        <v>178</v>
      </c>
      <c r="K365">
        <v>165382</v>
      </c>
      <c r="L365" s="1">
        <v>40675</v>
      </c>
      <c r="M365" s="1" t="s">
        <v>3171</v>
      </c>
      <c r="N365" t="s">
        <v>589</v>
      </c>
      <c r="O365" t="s">
        <v>3175</v>
      </c>
    </row>
    <row r="366" spans="1:15" x14ac:dyDescent="0.3">
      <c r="A366" t="s">
        <v>590</v>
      </c>
      <c r="B366">
        <v>4</v>
      </c>
      <c r="C366" s="1">
        <v>44944</v>
      </c>
      <c r="D366" t="s">
        <v>591</v>
      </c>
      <c r="E366" t="s">
        <v>592</v>
      </c>
      <c r="F366" t="s">
        <v>15</v>
      </c>
      <c r="G366" t="s">
        <v>16</v>
      </c>
      <c r="H366">
        <v>139</v>
      </c>
      <c r="I366">
        <v>2022</v>
      </c>
      <c r="J366" t="s">
        <v>593</v>
      </c>
      <c r="K366">
        <v>51264</v>
      </c>
      <c r="L366" s="1">
        <v>44704</v>
      </c>
      <c r="M366" s="1" t="s">
        <v>3197</v>
      </c>
      <c r="N366" t="s">
        <v>594</v>
      </c>
      <c r="O366" t="s">
        <v>3149</v>
      </c>
    </row>
    <row r="367" spans="1:15" x14ac:dyDescent="0.3">
      <c r="A367" t="s">
        <v>595</v>
      </c>
      <c r="B367">
        <v>5</v>
      </c>
      <c r="C367" s="1">
        <v>44393</v>
      </c>
      <c r="D367" s="4">
        <v>0.36527777777777781</v>
      </c>
      <c r="E367" t="s">
        <v>596</v>
      </c>
      <c r="F367" t="s">
        <v>551</v>
      </c>
      <c r="G367" t="s">
        <v>334</v>
      </c>
      <c r="H367">
        <v>27</v>
      </c>
      <c r="I367">
        <v>2020</v>
      </c>
      <c r="J367" t="s">
        <v>597</v>
      </c>
      <c r="K367">
        <v>3655</v>
      </c>
      <c r="L367" s="1">
        <v>43994</v>
      </c>
      <c r="M367" s="1" t="s">
        <v>3165</v>
      </c>
      <c r="N367" t="s">
        <v>598</v>
      </c>
      <c r="O367" t="s">
        <v>3149</v>
      </c>
    </row>
    <row r="368" spans="1:15" x14ac:dyDescent="0.3">
      <c r="A368" t="s">
        <v>599</v>
      </c>
      <c r="B368">
        <v>6</v>
      </c>
      <c r="C368" s="1">
        <v>45175</v>
      </c>
      <c r="D368" t="s">
        <v>600</v>
      </c>
      <c r="E368" t="s">
        <v>601</v>
      </c>
      <c r="F368" t="s">
        <v>15</v>
      </c>
      <c r="G368" t="s">
        <v>524</v>
      </c>
      <c r="H368">
        <v>117</v>
      </c>
      <c r="I368">
        <v>2021</v>
      </c>
      <c r="J368" t="s">
        <v>574</v>
      </c>
      <c r="K368">
        <v>75266</v>
      </c>
      <c r="L368" s="1">
        <v>44442</v>
      </c>
      <c r="M368" s="1" t="s">
        <v>3171</v>
      </c>
      <c r="N368" t="s">
        <v>602</v>
      </c>
      <c r="O368" t="s">
        <v>3149</v>
      </c>
    </row>
    <row r="369" spans="1:15" x14ac:dyDescent="0.3">
      <c r="A369" t="s">
        <v>603</v>
      </c>
      <c r="B369">
        <v>7</v>
      </c>
      <c r="C369" s="1">
        <v>44458</v>
      </c>
      <c r="D369" t="s">
        <v>604</v>
      </c>
      <c r="E369" t="s">
        <v>605</v>
      </c>
      <c r="F369" t="s">
        <v>47</v>
      </c>
      <c r="G369" t="s">
        <v>95</v>
      </c>
      <c r="H369">
        <v>13</v>
      </c>
      <c r="I369">
        <v>2021</v>
      </c>
      <c r="J369" t="s">
        <v>606</v>
      </c>
      <c r="K369">
        <v>21</v>
      </c>
      <c r="L369" s="1">
        <v>44359</v>
      </c>
      <c r="M369" s="1" t="s">
        <v>3154</v>
      </c>
      <c r="N369" t="s">
        <v>607</v>
      </c>
      <c r="O369" t="s">
        <v>3175</v>
      </c>
    </row>
    <row r="370" spans="1:15" x14ac:dyDescent="0.3">
      <c r="A370" t="s">
        <v>608</v>
      </c>
      <c r="B370">
        <v>7</v>
      </c>
      <c r="C370" s="1">
        <v>44899</v>
      </c>
      <c r="D370" t="s">
        <v>609</v>
      </c>
      <c r="E370" t="s">
        <v>610</v>
      </c>
      <c r="F370" t="s">
        <v>15</v>
      </c>
      <c r="G370" t="s">
        <v>16</v>
      </c>
      <c r="H370">
        <v>127</v>
      </c>
      <c r="I370">
        <v>2022</v>
      </c>
      <c r="J370" t="s">
        <v>611</v>
      </c>
      <c r="K370">
        <v>400971</v>
      </c>
      <c r="L370" s="1">
        <v>44760</v>
      </c>
      <c r="M370" s="1" t="s">
        <v>3165</v>
      </c>
      <c r="N370" t="s">
        <v>612</v>
      </c>
      <c r="O370" t="s">
        <v>3149</v>
      </c>
    </row>
    <row r="371" spans="1:15" x14ac:dyDescent="0.3">
      <c r="A371" t="s">
        <v>613</v>
      </c>
      <c r="B371">
        <v>7</v>
      </c>
      <c r="C371" s="1">
        <v>45176</v>
      </c>
      <c r="D371" t="s">
        <v>614</v>
      </c>
      <c r="E371" t="s">
        <v>615</v>
      </c>
      <c r="F371" t="s">
        <v>47</v>
      </c>
      <c r="G371" t="s">
        <v>95</v>
      </c>
      <c r="H371">
        <v>9</v>
      </c>
      <c r="I371">
        <v>2020</v>
      </c>
      <c r="J371" t="s">
        <v>199</v>
      </c>
      <c r="K371">
        <v>61</v>
      </c>
      <c r="L371" s="1">
        <v>43999</v>
      </c>
      <c r="M371" s="1" t="s">
        <v>3176</v>
      </c>
      <c r="N371" t="s">
        <v>616</v>
      </c>
      <c r="O371" t="s">
        <v>3149</v>
      </c>
    </row>
    <row r="372" spans="1:15" x14ac:dyDescent="0.3">
      <c r="A372" t="s">
        <v>617</v>
      </c>
      <c r="B372">
        <v>8</v>
      </c>
      <c r="C372" s="1">
        <v>44596</v>
      </c>
      <c r="D372" t="s">
        <v>618</v>
      </c>
      <c r="E372" t="s">
        <v>619</v>
      </c>
      <c r="F372" t="s">
        <v>15</v>
      </c>
      <c r="G372" t="s">
        <v>524</v>
      </c>
      <c r="H372">
        <v>97</v>
      </c>
      <c r="I372">
        <v>2008</v>
      </c>
      <c r="J372" t="s">
        <v>261</v>
      </c>
      <c r="K372">
        <v>7813</v>
      </c>
      <c r="L372" s="1">
        <v>39701</v>
      </c>
      <c r="M372" s="1" t="s">
        <v>3155</v>
      </c>
      <c r="N372" t="s">
        <v>620</v>
      </c>
      <c r="O372" t="s">
        <v>3149</v>
      </c>
    </row>
    <row r="373" spans="1:15" x14ac:dyDescent="0.3">
      <c r="A373" t="s">
        <v>621</v>
      </c>
      <c r="B373">
        <v>7</v>
      </c>
      <c r="C373" s="1">
        <v>45134</v>
      </c>
      <c r="D373" t="s">
        <v>622</v>
      </c>
      <c r="E373" t="s">
        <v>623</v>
      </c>
      <c r="F373" t="s">
        <v>624</v>
      </c>
      <c r="G373" t="s">
        <v>67</v>
      </c>
      <c r="H373">
        <v>74</v>
      </c>
      <c r="I373">
        <v>2021</v>
      </c>
      <c r="J373" t="s">
        <v>96</v>
      </c>
      <c r="K373">
        <v>6931</v>
      </c>
      <c r="L373" s="1">
        <v>44232</v>
      </c>
      <c r="M373" s="1" t="s">
        <v>3165</v>
      </c>
      <c r="N373" t="s">
        <v>625</v>
      </c>
      <c r="O373" t="s">
        <v>3175</v>
      </c>
    </row>
    <row r="374" spans="1:15" x14ac:dyDescent="0.3">
      <c r="A374" t="s">
        <v>626</v>
      </c>
      <c r="B374">
        <v>7</v>
      </c>
      <c r="C374" s="1">
        <v>44238</v>
      </c>
      <c r="D374" t="s">
        <v>627</v>
      </c>
      <c r="E374" t="s">
        <v>628</v>
      </c>
      <c r="F374" t="s">
        <v>15</v>
      </c>
      <c r="G374" t="s">
        <v>524</v>
      </c>
      <c r="H374">
        <v>106</v>
      </c>
      <c r="I374">
        <v>2021</v>
      </c>
      <c r="J374" t="s">
        <v>42</v>
      </c>
      <c r="K374">
        <v>40307</v>
      </c>
      <c r="L374" s="1">
        <v>44225</v>
      </c>
      <c r="M374" s="1" t="s">
        <v>3165</v>
      </c>
      <c r="N374" t="s">
        <v>629</v>
      </c>
      <c r="O374" t="s">
        <v>3149</v>
      </c>
    </row>
    <row r="375" spans="1:15" x14ac:dyDescent="0.3">
      <c r="A375" t="s">
        <v>630</v>
      </c>
      <c r="B375">
        <v>7</v>
      </c>
      <c r="C375" s="1">
        <v>44567</v>
      </c>
      <c r="D375" t="s">
        <v>631</v>
      </c>
      <c r="E375" t="s">
        <v>632</v>
      </c>
      <c r="F375" t="s">
        <v>15</v>
      </c>
      <c r="G375" t="s">
        <v>16</v>
      </c>
      <c r="H375">
        <v>130</v>
      </c>
      <c r="I375">
        <v>2021</v>
      </c>
      <c r="J375" t="s">
        <v>24</v>
      </c>
      <c r="K375">
        <v>48231</v>
      </c>
      <c r="L375" s="1">
        <v>44441</v>
      </c>
      <c r="M375" s="1" t="s">
        <v>3194</v>
      </c>
      <c r="N375" t="s">
        <v>633</v>
      </c>
      <c r="O375" t="s">
        <v>3149</v>
      </c>
    </row>
    <row r="376" spans="1:15" x14ac:dyDescent="0.3">
      <c r="A376" t="s">
        <v>634</v>
      </c>
      <c r="B376">
        <v>8</v>
      </c>
      <c r="C376" s="1">
        <v>45276</v>
      </c>
      <c r="D376" t="s">
        <v>635</v>
      </c>
      <c r="E376" t="s">
        <v>636</v>
      </c>
      <c r="F376" t="s">
        <v>15</v>
      </c>
      <c r="G376" t="s">
        <v>73</v>
      </c>
      <c r="H376">
        <v>138</v>
      </c>
      <c r="I376">
        <v>2023</v>
      </c>
      <c r="J376" t="s">
        <v>178</v>
      </c>
      <c r="K376">
        <v>130712</v>
      </c>
      <c r="L376" s="1">
        <v>45224</v>
      </c>
      <c r="M376" s="1" t="s">
        <v>3165</v>
      </c>
      <c r="N376" t="s">
        <v>637</v>
      </c>
      <c r="O376" t="s">
        <v>3149</v>
      </c>
    </row>
    <row r="377" spans="1:15" x14ac:dyDescent="0.3">
      <c r="A377" t="s">
        <v>638</v>
      </c>
      <c r="B377">
        <v>8</v>
      </c>
      <c r="C377" s="1">
        <v>44602</v>
      </c>
      <c r="D377" t="s">
        <v>639</v>
      </c>
      <c r="E377" t="s">
        <v>640</v>
      </c>
      <c r="F377" t="s">
        <v>15</v>
      </c>
      <c r="G377" t="s">
        <v>79</v>
      </c>
      <c r="H377">
        <v>98</v>
      </c>
      <c r="I377">
        <v>2021</v>
      </c>
      <c r="J377" t="s">
        <v>584</v>
      </c>
      <c r="K377">
        <v>87877</v>
      </c>
      <c r="L377" s="1">
        <v>44441</v>
      </c>
      <c r="M377" s="1" t="s">
        <v>3171</v>
      </c>
      <c r="N377" t="s">
        <v>641</v>
      </c>
      <c r="O377" t="s">
        <v>3149</v>
      </c>
    </row>
    <row r="378" spans="1:15" x14ac:dyDescent="0.3">
      <c r="A378" t="s">
        <v>642</v>
      </c>
      <c r="B378">
        <v>7</v>
      </c>
      <c r="C378" s="1">
        <v>44389</v>
      </c>
      <c r="D378" t="s">
        <v>643</v>
      </c>
      <c r="E378" t="s">
        <v>644</v>
      </c>
      <c r="F378" t="s">
        <v>15</v>
      </c>
      <c r="G378" t="s">
        <v>148</v>
      </c>
      <c r="H378">
        <v>95</v>
      </c>
      <c r="I378">
        <v>2021</v>
      </c>
      <c r="J378" t="s">
        <v>645</v>
      </c>
      <c r="K378">
        <v>186385</v>
      </c>
      <c r="L378" s="1">
        <v>44364</v>
      </c>
      <c r="M378" s="1" t="s">
        <v>3165</v>
      </c>
      <c r="N378" t="s">
        <v>646</v>
      </c>
      <c r="O378" t="s">
        <v>3149</v>
      </c>
    </row>
    <row r="379" spans="1:15" x14ac:dyDescent="0.3">
      <c r="A379" t="s">
        <v>647</v>
      </c>
      <c r="B379">
        <v>6</v>
      </c>
      <c r="C379" s="1">
        <v>44737</v>
      </c>
      <c r="D379" t="s">
        <v>648</v>
      </c>
      <c r="E379" t="s">
        <v>649</v>
      </c>
      <c r="F379" t="s">
        <v>15</v>
      </c>
      <c r="G379" t="s">
        <v>346</v>
      </c>
      <c r="H379">
        <v>96</v>
      </c>
      <c r="I379">
        <v>2009</v>
      </c>
      <c r="J379" t="s">
        <v>261</v>
      </c>
      <c r="K379">
        <v>41534</v>
      </c>
      <c r="L379" s="1">
        <v>40069</v>
      </c>
      <c r="M379" s="1" t="s">
        <v>3165</v>
      </c>
      <c r="N379" t="s">
        <v>650</v>
      </c>
      <c r="O379" t="s">
        <v>3149</v>
      </c>
    </row>
    <row r="380" spans="1:15" x14ac:dyDescent="0.3">
      <c r="A380" t="s">
        <v>651</v>
      </c>
      <c r="B380">
        <v>7</v>
      </c>
      <c r="C380" s="1">
        <v>45180</v>
      </c>
      <c r="D380" t="s">
        <v>652</v>
      </c>
      <c r="E380" t="s">
        <v>653</v>
      </c>
      <c r="F380" t="s">
        <v>15</v>
      </c>
      <c r="G380" t="s">
        <v>158</v>
      </c>
      <c r="H380">
        <v>135</v>
      </c>
      <c r="I380">
        <v>2021</v>
      </c>
      <c r="J380" t="s">
        <v>24</v>
      </c>
      <c r="K380">
        <v>1421</v>
      </c>
      <c r="L380" s="1">
        <v>44473</v>
      </c>
      <c r="M380" s="1" t="s">
        <v>3166</v>
      </c>
      <c r="N380" t="s">
        <v>654</v>
      </c>
      <c r="O380" t="s">
        <v>3149</v>
      </c>
    </row>
    <row r="381" spans="1:15" x14ac:dyDescent="0.3">
      <c r="A381" t="s">
        <v>655</v>
      </c>
      <c r="B381">
        <v>6</v>
      </c>
      <c r="C381" s="1">
        <v>44496</v>
      </c>
      <c r="D381" t="s">
        <v>656</v>
      </c>
      <c r="E381" t="s">
        <v>657</v>
      </c>
      <c r="F381" t="s">
        <v>47</v>
      </c>
      <c r="G381" t="s">
        <v>148</v>
      </c>
      <c r="H381">
        <v>26</v>
      </c>
      <c r="I381">
        <v>2020</v>
      </c>
      <c r="J381" t="s">
        <v>199</v>
      </c>
      <c r="K381">
        <v>32</v>
      </c>
      <c r="L381" s="1">
        <v>44067</v>
      </c>
      <c r="M381" s="1" t="s">
        <v>3154</v>
      </c>
      <c r="N381" t="s">
        <v>658</v>
      </c>
      <c r="O381" t="s">
        <v>3175</v>
      </c>
    </row>
    <row r="382" spans="1:15" x14ac:dyDescent="0.3">
      <c r="A382" t="s">
        <v>659</v>
      </c>
      <c r="B382">
        <v>5</v>
      </c>
      <c r="C382" s="1">
        <v>44496</v>
      </c>
      <c r="D382" t="s">
        <v>660</v>
      </c>
      <c r="E382" t="s">
        <v>661</v>
      </c>
      <c r="F382" t="s">
        <v>47</v>
      </c>
      <c r="G382" t="s">
        <v>198</v>
      </c>
      <c r="H382">
        <v>6</v>
      </c>
      <c r="I382">
        <v>2020</v>
      </c>
      <c r="J382" t="s">
        <v>662</v>
      </c>
      <c r="K382">
        <v>79</v>
      </c>
      <c r="L382" s="1">
        <v>44051</v>
      </c>
      <c r="M382" s="1" t="s">
        <v>3154</v>
      </c>
      <c r="N382" t="s">
        <v>663</v>
      </c>
      <c r="O382" t="s">
        <v>3149</v>
      </c>
    </row>
    <row r="383" spans="1:15" x14ac:dyDescent="0.3">
      <c r="A383" t="s">
        <v>664</v>
      </c>
      <c r="B383">
        <v>7</v>
      </c>
      <c r="C383" s="1">
        <v>44496</v>
      </c>
      <c r="D383" t="s">
        <v>665</v>
      </c>
      <c r="E383" t="s">
        <v>666</v>
      </c>
      <c r="F383" t="s">
        <v>47</v>
      </c>
      <c r="G383" t="s">
        <v>143</v>
      </c>
      <c r="H383">
        <v>19</v>
      </c>
      <c r="I383">
        <v>2020</v>
      </c>
      <c r="J383" t="s">
        <v>667</v>
      </c>
      <c r="K383">
        <v>16</v>
      </c>
      <c r="L383" s="1">
        <v>44052</v>
      </c>
      <c r="M383" s="1" t="s">
        <v>3154</v>
      </c>
      <c r="N383" t="s">
        <v>668</v>
      </c>
      <c r="O383" t="s">
        <v>3149</v>
      </c>
    </row>
    <row r="384" spans="1:15" x14ac:dyDescent="0.3">
      <c r="A384" t="s">
        <v>669</v>
      </c>
      <c r="B384">
        <v>8</v>
      </c>
      <c r="C384" s="1">
        <v>43833</v>
      </c>
      <c r="D384" t="s">
        <v>670</v>
      </c>
      <c r="E384" t="s">
        <v>671</v>
      </c>
      <c r="F384" t="s">
        <v>15</v>
      </c>
      <c r="G384" t="s">
        <v>61</v>
      </c>
      <c r="H384">
        <v>209</v>
      </c>
      <c r="I384">
        <v>2019</v>
      </c>
      <c r="J384" t="s">
        <v>672</v>
      </c>
      <c r="K384">
        <v>421956</v>
      </c>
      <c r="L384" s="1">
        <v>43735</v>
      </c>
      <c r="M384" s="1" t="s">
        <v>3165</v>
      </c>
      <c r="N384" t="s">
        <v>371</v>
      </c>
      <c r="O384" t="s">
        <v>3149</v>
      </c>
    </row>
    <row r="385" spans="1:15" x14ac:dyDescent="0.3">
      <c r="A385" t="s">
        <v>678</v>
      </c>
      <c r="B385">
        <v>6</v>
      </c>
      <c r="C385" s="1">
        <v>44180</v>
      </c>
      <c r="D385" t="s">
        <v>679</v>
      </c>
      <c r="E385" t="s">
        <v>680</v>
      </c>
      <c r="F385" t="s">
        <v>15</v>
      </c>
      <c r="G385" t="s">
        <v>524</v>
      </c>
      <c r="H385">
        <v>95</v>
      </c>
      <c r="I385">
        <v>2020</v>
      </c>
      <c r="J385" t="s">
        <v>235</v>
      </c>
      <c r="K385">
        <v>150837</v>
      </c>
      <c r="L385" s="1">
        <v>44127</v>
      </c>
      <c r="M385" s="1" t="s">
        <v>3165</v>
      </c>
      <c r="N385" t="s">
        <v>681</v>
      </c>
      <c r="O385" t="s">
        <v>3149</v>
      </c>
    </row>
    <row r="386" spans="1:15" x14ac:dyDescent="0.3">
      <c r="A386" t="s">
        <v>682</v>
      </c>
      <c r="B386">
        <v>7</v>
      </c>
      <c r="C386" s="1">
        <v>44820</v>
      </c>
      <c r="D386" t="s">
        <v>683</v>
      </c>
      <c r="E386" t="s">
        <v>684</v>
      </c>
      <c r="F386" t="s">
        <v>15</v>
      </c>
      <c r="G386" t="s">
        <v>148</v>
      </c>
      <c r="H386">
        <v>73</v>
      </c>
      <c r="I386">
        <v>2021</v>
      </c>
      <c r="J386" t="s">
        <v>517</v>
      </c>
      <c r="K386">
        <v>16780</v>
      </c>
      <c r="L386" s="1">
        <v>44349</v>
      </c>
      <c r="M386" s="1" t="s">
        <v>3155</v>
      </c>
      <c r="N386" t="s">
        <v>685</v>
      </c>
      <c r="O386" t="s">
        <v>3175</v>
      </c>
    </row>
    <row r="387" spans="1:15" x14ac:dyDescent="0.3">
      <c r="A387" t="s">
        <v>686</v>
      </c>
      <c r="B387">
        <v>6</v>
      </c>
      <c r="C387" s="1">
        <v>45259</v>
      </c>
      <c r="D387" t="s">
        <v>687</v>
      </c>
      <c r="E387" t="s">
        <v>688</v>
      </c>
      <c r="F387" t="s">
        <v>47</v>
      </c>
      <c r="G387" t="s">
        <v>346</v>
      </c>
      <c r="H387">
        <v>18</v>
      </c>
      <c r="I387">
        <v>2020</v>
      </c>
      <c r="J387" t="s">
        <v>199</v>
      </c>
      <c r="K387">
        <v>10</v>
      </c>
      <c r="L387" s="1">
        <v>43879</v>
      </c>
      <c r="M387" s="1" t="s">
        <v>3165</v>
      </c>
      <c r="N387" t="s">
        <v>689</v>
      </c>
      <c r="O387" t="s">
        <v>3175</v>
      </c>
    </row>
    <row r="388" spans="1:15" x14ac:dyDescent="0.3">
      <c r="A388" t="s">
        <v>690</v>
      </c>
      <c r="B388">
        <v>5</v>
      </c>
      <c r="C388" s="1">
        <v>44880</v>
      </c>
      <c r="D388" t="s">
        <v>691</v>
      </c>
      <c r="E388" t="s">
        <v>692</v>
      </c>
      <c r="F388" t="s">
        <v>15</v>
      </c>
      <c r="G388" t="s">
        <v>105</v>
      </c>
      <c r="H388">
        <v>87</v>
      </c>
      <c r="I388">
        <v>2022</v>
      </c>
      <c r="J388" t="s">
        <v>693</v>
      </c>
      <c r="K388">
        <v>1281</v>
      </c>
      <c r="L388" s="1">
        <v>44583</v>
      </c>
      <c r="M388" s="1" t="s">
        <v>3165</v>
      </c>
      <c r="N388" t="s">
        <v>694</v>
      </c>
      <c r="O388" t="s">
        <v>3175</v>
      </c>
    </row>
    <row r="389" spans="1:15" x14ac:dyDescent="0.3">
      <c r="A389" t="s">
        <v>695</v>
      </c>
      <c r="B389">
        <v>5</v>
      </c>
      <c r="C389" s="1">
        <v>45232</v>
      </c>
      <c r="D389" t="s">
        <v>696</v>
      </c>
      <c r="E389" t="s">
        <v>697</v>
      </c>
      <c r="F389" t="s">
        <v>15</v>
      </c>
      <c r="G389" t="s">
        <v>116</v>
      </c>
      <c r="H389">
        <v>118</v>
      </c>
      <c r="I389">
        <v>2022</v>
      </c>
      <c r="J389" t="s">
        <v>698</v>
      </c>
      <c r="K389">
        <v>48111</v>
      </c>
      <c r="L389" s="1">
        <v>44820</v>
      </c>
      <c r="M389" s="1" t="s">
        <v>3165</v>
      </c>
      <c r="N389" t="s">
        <v>699</v>
      </c>
      <c r="O389" t="s">
        <v>3175</v>
      </c>
    </row>
    <row r="390" spans="1:15" x14ac:dyDescent="0.3">
      <c r="A390" t="s">
        <v>700</v>
      </c>
      <c r="B390">
        <v>7</v>
      </c>
      <c r="C390" s="1">
        <v>44907</v>
      </c>
      <c r="D390" t="s">
        <v>701</v>
      </c>
      <c r="E390" t="s">
        <v>702</v>
      </c>
      <c r="F390" t="s">
        <v>15</v>
      </c>
      <c r="G390" t="s">
        <v>41</v>
      </c>
      <c r="H390">
        <v>86</v>
      </c>
      <c r="I390">
        <v>2009</v>
      </c>
      <c r="J390" t="s">
        <v>703</v>
      </c>
      <c r="K390">
        <v>10186</v>
      </c>
      <c r="L390" s="1">
        <v>39830</v>
      </c>
      <c r="M390" s="1" t="s">
        <v>3165</v>
      </c>
      <c r="N390" t="s">
        <v>704</v>
      </c>
      <c r="O390" t="s">
        <v>3149</v>
      </c>
    </row>
    <row r="391" spans="1:15" x14ac:dyDescent="0.3">
      <c r="A391" t="s">
        <v>705</v>
      </c>
      <c r="B391">
        <v>7</v>
      </c>
      <c r="C391" s="1">
        <v>44989</v>
      </c>
      <c r="D391" t="s">
        <v>706</v>
      </c>
      <c r="E391" t="s">
        <v>707</v>
      </c>
      <c r="F391" t="s">
        <v>708</v>
      </c>
      <c r="G391" t="s">
        <v>187</v>
      </c>
      <c r="H391">
        <v>8</v>
      </c>
      <c r="I391">
        <v>2020</v>
      </c>
      <c r="J391" t="s">
        <v>597</v>
      </c>
      <c r="K391">
        <v>369</v>
      </c>
      <c r="L391" s="1">
        <v>43856</v>
      </c>
      <c r="M391" s="1" t="s">
        <v>3176</v>
      </c>
      <c r="N391" t="s">
        <v>709</v>
      </c>
      <c r="O391" t="s">
        <v>3149</v>
      </c>
    </row>
    <row r="392" spans="1:15" x14ac:dyDescent="0.3">
      <c r="A392" t="s">
        <v>714</v>
      </c>
      <c r="B392">
        <v>6</v>
      </c>
      <c r="C392" s="1">
        <v>45258</v>
      </c>
      <c r="D392" t="s">
        <v>715</v>
      </c>
      <c r="E392" t="s">
        <v>716</v>
      </c>
      <c r="F392" t="s">
        <v>15</v>
      </c>
      <c r="G392" t="s">
        <v>524</v>
      </c>
      <c r="H392">
        <v>82</v>
      </c>
      <c r="I392">
        <v>2020</v>
      </c>
      <c r="J392" t="s">
        <v>96</v>
      </c>
      <c r="K392">
        <v>14</v>
      </c>
      <c r="L392" s="1">
        <v>44034</v>
      </c>
      <c r="M392" s="1" t="s">
        <v>3200</v>
      </c>
      <c r="N392" t="s">
        <v>717</v>
      </c>
      <c r="O392" t="s">
        <v>3175</v>
      </c>
    </row>
    <row r="393" spans="1:15" x14ac:dyDescent="0.3">
      <c r="A393" t="s">
        <v>718</v>
      </c>
      <c r="B393">
        <v>6</v>
      </c>
      <c r="C393" s="1">
        <v>44879</v>
      </c>
      <c r="D393" t="s">
        <v>719</v>
      </c>
      <c r="E393" t="s">
        <v>720</v>
      </c>
      <c r="F393" t="s">
        <v>15</v>
      </c>
      <c r="G393" t="s">
        <v>79</v>
      </c>
      <c r="H393">
        <v>143</v>
      </c>
      <c r="I393">
        <v>2013</v>
      </c>
      <c r="J393" t="s">
        <v>42</v>
      </c>
      <c r="K393">
        <v>584890</v>
      </c>
      <c r="L393" s="1">
        <v>41395</v>
      </c>
      <c r="M393" s="1" t="s">
        <v>3165</v>
      </c>
      <c r="N393" t="s">
        <v>721</v>
      </c>
      <c r="O393" t="s">
        <v>3149</v>
      </c>
    </row>
    <row r="394" spans="1:15" x14ac:dyDescent="0.3">
      <c r="A394" t="s">
        <v>722</v>
      </c>
      <c r="B394">
        <v>7</v>
      </c>
      <c r="C394" s="1">
        <v>44895</v>
      </c>
      <c r="D394" t="s">
        <v>723</v>
      </c>
      <c r="E394" t="s">
        <v>724</v>
      </c>
      <c r="F394" t="s">
        <v>216</v>
      </c>
      <c r="G394" t="s">
        <v>334</v>
      </c>
      <c r="H394">
        <f>45*9</f>
        <v>405</v>
      </c>
      <c r="I394">
        <v>2022</v>
      </c>
      <c r="J394" t="s">
        <v>725</v>
      </c>
      <c r="K394">
        <v>344062</v>
      </c>
      <c r="L394" s="1">
        <v>44865</v>
      </c>
      <c r="M394" s="1" t="s">
        <v>3165</v>
      </c>
      <c r="N394" t="s">
        <v>3037</v>
      </c>
      <c r="O394" t="s">
        <v>3149</v>
      </c>
    </row>
    <row r="395" spans="1:15" x14ac:dyDescent="0.3">
      <c r="A395" t="s">
        <v>726</v>
      </c>
      <c r="B395">
        <v>7</v>
      </c>
      <c r="C395" s="1">
        <v>44712</v>
      </c>
      <c r="D395" t="s">
        <v>727</v>
      </c>
      <c r="E395" t="s">
        <v>728</v>
      </c>
      <c r="F395" t="s">
        <v>15</v>
      </c>
      <c r="G395" t="s">
        <v>198</v>
      </c>
      <c r="H395">
        <v>130</v>
      </c>
      <c r="I395">
        <v>2021</v>
      </c>
      <c r="J395" t="s">
        <v>261</v>
      </c>
      <c r="K395">
        <v>30560</v>
      </c>
      <c r="L395" s="1">
        <v>44391</v>
      </c>
      <c r="M395" s="1" t="s">
        <v>3165</v>
      </c>
      <c r="N395" t="s">
        <v>729</v>
      </c>
      <c r="O395" t="s">
        <v>3149</v>
      </c>
    </row>
    <row r="396" spans="1:15" x14ac:dyDescent="0.3">
      <c r="A396" t="s">
        <v>730</v>
      </c>
      <c r="B396">
        <v>7</v>
      </c>
      <c r="C396" s="1">
        <v>45119</v>
      </c>
      <c r="D396" t="s">
        <v>731</v>
      </c>
      <c r="E396" t="s">
        <v>732</v>
      </c>
      <c r="F396" t="s">
        <v>15</v>
      </c>
      <c r="G396" t="s">
        <v>158</v>
      </c>
      <c r="H396">
        <v>179</v>
      </c>
      <c r="I396">
        <v>2023</v>
      </c>
      <c r="J396" t="s">
        <v>733</v>
      </c>
      <c r="K396">
        <v>50334</v>
      </c>
      <c r="L396" s="1">
        <v>45017</v>
      </c>
      <c r="M396" s="1" t="s">
        <v>3165</v>
      </c>
      <c r="N396" t="s">
        <v>734</v>
      </c>
      <c r="O396" t="s">
        <v>3149</v>
      </c>
    </row>
    <row r="397" spans="1:15" x14ac:dyDescent="0.3">
      <c r="A397" t="s">
        <v>735</v>
      </c>
      <c r="B397">
        <v>7</v>
      </c>
      <c r="C397" s="1">
        <v>44941</v>
      </c>
      <c r="D397" t="s">
        <v>736</v>
      </c>
      <c r="E397" t="s">
        <v>737</v>
      </c>
      <c r="F397" t="s">
        <v>15</v>
      </c>
      <c r="G397" t="s">
        <v>73</v>
      </c>
      <c r="H397">
        <v>105</v>
      </c>
      <c r="I397">
        <v>2022</v>
      </c>
      <c r="J397" t="s">
        <v>738</v>
      </c>
      <c r="K397">
        <v>158190</v>
      </c>
      <c r="L397" s="1">
        <v>44633</v>
      </c>
      <c r="M397" s="1" t="s">
        <v>3165</v>
      </c>
      <c r="N397" t="s">
        <v>739</v>
      </c>
      <c r="O397" t="s">
        <v>3149</v>
      </c>
    </row>
    <row r="398" spans="1:15" x14ac:dyDescent="0.3">
      <c r="A398" t="s">
        <v>740</v>
      </c>
      <c r="B398">
        <v>4</v>
      </c>
      <c r="C398" s="1">
        <v>44458</v>
      </c>
      <c r="D398" t="s">
        <v>741</v>
      </c>
      <c r="E398" t="s">
        <v>742</v>
      </c>
      <c r="F398" t="s">
        <v>15</v>
      </c>
      <c r="G398" t="s">
        <v>346</v>
      </c>
      <c r="H398">
        <v>95</v>
      </c>
      <c r="I398">
        <v>2021</v>
      </c>
      <c r="J398" t="s">
        <v>743</v>
      </c>
      <c r="K398">
        <v>2085</v>
      </c>
      <c r="L398" s="1">
        <v>44225</v>
      </c>
      <c r="M398" s="1" t="s">
        <v>3165</v>
      </c>
      <c r="N398" t="s">
        <v>744</v>
      </c>
      <c r="O398" t="s">
        <v>3149</v>
      </c>
    </row>
    <row r="399" spans="1:15" x14ac:dyDescent="0.3">
      <c r="A399" t="s">
        <v>745</v>
      </c>
      <c r="B399">
        <v>5</v>
      </c>
      <c r="C399" s="1">
        <v>45266</v>
      </c>
      <c r="D399" t="s">
        <v>746</v>
      </c>
      <c r="E399" t="s">
        <v>747</v>
      </c>
      <c r="F399" t="s">
        <v>15</v>
      </c>
      <c r="G399" t="s">
        <v>95</v>
      </c>
      <c r="H399">
        <v>117</v>
      </c>
      <c r="I399">
        <v>2023</v>
      </c>
      <c r="J399" t="s">
        <v>261</v>
      </c>
      <c r="K399">
        <v>26464</v>
      </c>
      <c r="L399" s="1">
        <v>45066</v>
      </c>
      <c r="M399" s="1" t="s">
        <v>3165</v>
      </c>
      <c r="N399" t="s">
        <v>557</v>
      </c>
      <c r="O399" t="s">
        <v>3149</v>
      </c>
    </row>
    <row r="400" spans="1:15" x14ac:dyDescent="0.3">
      <c r="A400" t="s">
        <v>752</v>
      </c>
      <c r="B400">
        <v>7</v>
      </c>
      <c r="C400" s="1">
        <v>44009</v>
      </c>
      <c r="D400" t="s">
        <v>753</v>
      </c>
      <c r="E400" t="s">
        <v>754</v>
      </c>
      <c r="F400" t="s">
        <v>15</v>
      </c>
      <c r="G400" t="s">
        <v>751</v>
      </c>
      <c r="H400">
        <v>148</v>
      </c>
      <c r="I400">
        <v>2010</v>
      </c>
      <c r="J400" t="s">
        <v>755</v>
      </c>
      <c r="K400">
        <v>2501757</v>
      </c>
      <c r="L400" s="1">
        <v>40367</v>
      </c>
      <c r="M400" s="1" t="s">
        <v>3165</v>
      </c>
      <c r="N400" t="s">
        <v>756</v>
      </c>
      <c r="O400" t="s">
        <v>3149</v>
      </c>
    </row>
    <row r="401" spans="1:15" x14ac:dyDescent="0.3">
      <c r="A401" t="s">
        <v>757</v>
      </c>
      <c r="B401">
        <v>7</v>
      </c>
      <c r="C401" s="1">
        <v>44990</v>
      </c>
      <c r="D401" t="s">
        <v>758</v>
      </c>
      <c r="E401" t="s">
        <v>759</v>
      </c>
      <c r="F401" t="s">
        <v>15</v>
      </c>
      <c r="G401" t="s">
        <v>84</v>
      </c>
      <c r="H401">
        <v>117</v>
      </c>
      <c r="I401">
        <v>2022</v>
      </c>
      <c r="J401" t="s">
        <v>24</v>
      </c>
      <c r="K401">
        <v>195521</v>
      </c>
      <c r="L401" s="1">
        <v>44808</v>
      </c>
      <c r="M401" s="1" t="s">
        <v>3165</v>
      </c>
      <c r="N401" t="s">
        <v>760</v>
      </c>
      <c r="O401" t="s">
        <v>3149</v>
      </c>
    </row>
    <row r="402" spans="1:15" x14ac:dyDescent="0.3">
      <c r="A402" t="s">
        <v>761</v>
      </c>
      <c r="B402">
        <v>7</v>
      </c>
      <c r="C402" s="1">
        <v>45249</v>
      </c>
      <c r="D402" t="s">
        <v>762</v>
      </c>
      <c r="E402" t="s">
        <v>763</v>
      </c>
      <c r="F402" t="s">
        <v>22</v>
      </c>
      <c r="G402" t="s">
        <v>187</v>
      </c>
      <c r="H402">
        <f>46+50+47+45+43+45+45+41</f>
        <v>362</v>
      </c>
      <c r="I402">
        <v>2023</v>
      </c>
      <c r="J402" t="s">
        <v>24</v>
      </c>
      <c r="K402">
        <v>22189</v>
      </c>
      <c r="L402" s="1">
        <v>45211</v>
      </c>
      <c r="M402" s="1" t="s">
        <v>3165</v>
      </c>
      <c r="N402" t="s">
        <v>25</v>
      </c>
    </row>
    <row r="403" spans="1:15" x14ac:dyDescent="0.3">
      <c r="A403" t="s">
        <v>764</v>
      </c>
      <c r="B403">
        <v>7</v>
      </c>
      <c r="C403" s="1">
        <v>44428</v>
      </c>
      <c r="D403" t="s">
        <v>765</v>
      </c>
      <c r="E403" t="s">
        <v>766</v>
      </c>
      <c r="F403" t="s">
        <v>15</v>
      </c>
      <c r="G403" t="s">
        <v>79</v>
      </c>
      <c r="H403">
        <v>122</v>
      </c>
      <c r="I403">
        <v>2021</v>
      </c>
      <c r="J403" t="s">
        <v>24</v>
      </c>
      <c r="K403">
        <v>1556</v>
      </c>
      <c r="L403" s="1">
        <v>44319</v>
      </c>
      <c r="M403" s="1" t="s">
        <v>3154</v>
      </c>
      <c r="N403" t="s">
        <v>767</v>
      </c>
      <c r="O403" t="s">
        <v>3175</v>
      </c>
    </row>
    <row r="404" spans="1:15" x14ac:dyDescent="0.3">
      <c r="A404" t="s">
        <v>768</v>
      </c>
      <c r="B404">
        <v>5</v>
      </c>
      <c r="C404" s="1">
        <v>44496</v>
      </c>
      <c r="D404" t="s">
        <v>769</v>
      </c>
      <c r="E404" t="s">
        <v>770</v>
      </c>
      <c r="F404" t="s">
        <v>47</v>
      </c>
      <c r="G404" t="s">
        <v>116</v>
      </c>
      <c r="H404">
        <v>10</v>
      </c>
      <c r="I404">
        <v>2021</v>
      </c>
      <c r="J404" t="s">
        <v>771</v>
      </c>
      <c r="K404">
        <v>511</v>
      </c>
      <c r="L404" s="1">
        <v>44271</v>
      </c>
      <c r="M404" s="1" t="s">
        <v>3154</v>
      </c>
      <c r="N404" t="s">
        <v>772</v>
      </c>
      <c r="O404" t="s">
        <v>3175</v>
      </c>
    </row>
    <row r="405" spans="1:15" x14ac:dyDescent="0.3">
      <c r="A405" t="s">
        <v>773</v>
      </c>
      <c r="B405">
        <v>6</v>
      </c>
      <c r="C405" s="1">
        <v>44390</v>
      </c>
      <c r="D405" t="s">
        <v>774</v>
      </c>
      <c r="E405" t="s">
        <v>775</v>
      </c>
      <c r="F405" t="s">
        <v>15</v>
      </c>
      <c r="G405" t="s">
        <v>73</v>
      </c>
      <c r="H405">
        <v>106</v>
      </c>
      <c r="I405">
        <v>2021</v>
      </c>
      <c r="J405" t="s">
        <v>261</v>
      </c>
      <c r="K405">
        <v>10113</v>
      </c>
      <c r="L405" s="1">
        <v>44265</v>
      </c>
      <c r="M405" s="1" t="s">
        <v>3212</v>
      </c>
      <c r="N405" t="s">
        <v>776</v>
      </c>
      <c r="O405" t="s">
        <v>3149</v>
      </c>
    </row>
    <row r="406" spans="1:15" x14ac:dyDescent="0.3">
      <c r="A406" t="s">
        <v>777</v>
      </c>
      <c r="B406">
        <v>7</v>
      </c>
      <c r="C406" s="1">
        <v>44938</v>
      </c>
      <c r="D406" t="s">
        <v>778</v>
      </c>
      <c r="E406" t="s">
        <v>779</v>
      </c>
      <c r="F406" t="s">
        <v>15</v>
      </c>
      <c r="G406" t="s">
        <v>524</v>
      </c>
      <c r="H406">
        <v>128</v>
      </c>
      <c r="I406">
        <v>2022</v>
      </c>
      <c r="J406" t="s">
        <v>780</v>
      </c>
      <c r="K406">
        <v>119448</v>
      </c>
      <c r="L406" s="1">
        <v>44909</v>
      </c>
      <c r="M406" s="1" t="s">
        <v>3165</v>
      </c>
      <c r="N406" t="s">
        <v>781</v>
      </c>
      <c r="O406" t="s">
        <v>3149</v>
      </c>
    </row>
    <row r="407" spans="1:15" x14ac:dyDescent="0.3">
      <c r="A407" t="s">
        <v>782</v>
      </c>
      <c r="B407">
        <v>6</v>
      </c>
      <c r="C407" s="1">
        <v>45169</v>
      </c>
      <c r="D407" t="s">
        <v>783</v>
      </c>
      <c r="E407" t="s">
        <v>784</v>
      </c>
      <c r="F407" t="s">
        <v>47</v>
      </c>
      <c r="G407" t="s">
        <v>16</v>
      </c>
      <c r="H407">
        <v>10</v>
      </c>
      <c r="I407">
        <v>2021</v>
      </c>
      <c r="J407" t="s">
        <v>48</v>
      </c>
      <c r="K407">
        <v>12</v>
      </c>
      <c r="L407" s="1">
        <v>44282</v>
      </c>
      <c r="M407" s="1" t="s">
        <v>3154</v>
      </c>
      <c r="N407" t="s">
        <v>785</v>
      </c>
      <c r="O407" t="s">
        <v>3175</v>
      </c>
    </row>
    <row r="408" spans="1:15" x14ac:dyDescent="0.3">
      <c r="A408" t="s">
        <v>786</v>
      </c>
      <c r="B408">
        <v>7</v>
      </c>
      <c r="C408" s="1">
        <v>45154</v>
      </c>
      <c r="D408" t="s">
        <v>787</v>
      </c>
      <c r="E408" t="s">
        <v>788</v>
      </c>
      <c r="F408" t="s">
        <v>15</v>
      </c>
      <c r="G408" t="s">
        <v>16</v>
      </c>
      <c r="H408">
        <v>145</v>
      </c>
      <c r="I408">
        <v>2011</v>
      </c>
      <c r="J408" t="s">
        <v>193</v>
      </c>
      <c r="K408">
        <v>11099</v>
      </c>
      <c r="L408" s="1">
        <v>40788</v>
      </c>
      <c r="M408" s="1" t="s">
        <v>3166</v>
      </c>
      <c r="N408" t="s">
        <v>789</v>
      </c>
      <c r="O408" t="s">
        <v>3175</v>
      </c>
    </row>
    <row r="409" spans="1:15" x14ac:dyDescent="0.3">
      <c r="A409" t="s">
        <v>790</v>
      </c>
      <c r="B409">
        <v>7</v>
      </c>
      <c r="C409" s="1">
        <v>44928</v>
      </c>
      <c r="D409" t="s">
        <v>791</v>
      </c>
      <c r="E409" t="s">
        <v>792</v>
      </c>
      <c r="F409" t="s">
        <v>15</v>
      </c>
      <c r="G409" t="s">
        <v>56</v>
      </c>
      <c r="H409">
        <v>151</v>
      </c>
      <c r="I409">
        <v>2022</v>
      </c>
      <c r="J409" t="s">
        <v>24</v>
      </c>
      <c r="K409">
        <v>110199</v>
      </c>
      <c r="L409" s="1">
        <v>44814</v>
      </c>
      <c r="M409" s="1" t="s">
        <v>3165</v>
      </c>
      <c r="N409" t="s">
        <v>272</v>
      </c>
      <c r="O409" t="s">
        <v>3149</v>
      </c>
    </row>
    <row r="410" spans="1:15" x14ac:dyDescent="0.3">
      <c r="A410" t="s">
        <v>793</v>
      </c>
      <c r="B410">
        <v>7</v>
      </c>
      <c r="C410" s="1">
        <v>45168</v>
      </c>
      <c r="D410" t="s">
        <v>794</v>
      </c>
      <c r="E410" t="s">
        <v>795</v>
      </c>
      <c r="F410" t="s">
        <v>15</v>
      </c>
      <c r="G410" t="s">
        <v>116</v>
      </c>
      <c r="H410">
        <v>97</v>
      </c>
      <c r="I410">
        <v>2010</v>
      </c>
      <c r="J410" t="s">
        <v>17</v>
      </c>
      <c r="K410">
        <v>46355</v>
      </c>
      <c r="L410" s="1">
        <v>40424</v>
      </c>
      <c r="M410" s="1" t="s">
        <v>3165</v>
      </c>
      <c r="N410" t="s">
        <v>796</v>
      </c>
      <c r="O410" t="s">
        <v>3149</v>
      </c>
    </row>
    <row r="411" spans="1:15" x14ac:dyDescent="0.3">
      <c r="A411" t="s">
        <v>797</v>
      </c>
      <c r="B411">
        <v>6</v>
      </c>
      <c r="C411" s="1">
        <v>44451</v>
      </c>
      <c r="D411" t="s">
        <v>798</v>
      </c>
      <c r="E411" t="s">
        <v>799</v>
      </c>
      <c r="F411" t="s">
        <v>15</v>
      </c>
      <c r="G411" t="s">
        <v>25</v>
      </c>
      <c r="H411">
        <v>91</v>
      </c>
      <c r="I411">
        <v>2019</v>
      </c>
      <c r="J411" t="s">
        <v>467</v>
      </c>
      <c r="L411" s="1">
        <v>43595</v>
      </c>
      <c r="M411" s="1" t="s">
        <v>3154</v>
      </c>
      <c r="N411" t="s">
        <v>800</v>
      </c>
      <c r="O411" t="s">
        <v>3175</v>
      </c>
    </row>
    <row r="412" spans="1:15" x14ac:dyDescent="0.3">
      <c r="A412" t="s">
        <v>801</v>
      </c>
      <c r="B412">
        <v>6</v>
      </c>
      <c r="C412" s="1">
        <v>44941</v>
      </c>
      <c r="D412" t="s">
        <v>802</v>
      </c>
      <c r="E412" t="s">
        <v>803</v>
      </c>
      <c r="F412" t="s">
        <v>15</v>
      </c>
      <c r="G412" t="s">
        <v>524</v>
      </c>
      <c r="H412">
        <v>126</v>
      </c>
      <c r="I412">
        <v>2022</v>
      </c>
      <c r="J412" t="s">
        <v>42</v>
      </c>
      <c r="K412">
        <v>21816</v>
      </c>
      <c r="L412" s="1">
        <v>44806</v>
      </c>
      <c r="M412" s="1" t="s">
        <v>3171</v>
      </c>
      <c r="N412" t="s">
        <v>804</v>
      </c>
      <c r="O412" t="s">
        <v>3175</v>
      </c>
    </row>
    <row r="413" spans="1:15" x14ac:dyDescent="0.3">
      <c r="A413" t="s">
        <v>805</v>
      </c>
      <c r="B413">
        <v>8</v>
      </c>
      <c r="C413" s="1">
        <v>44943</v>
      </c>
      <c r="D413" t="s">
        <v>806</v>
      </c>
      <c r="E413" t="s">
        <v>807</v>
      </c>
      <c r="F413" t="s">
        <v>15</v>
      </c>
      <c r="G413" t="s">
        <v>16</v>
      </c>
      <c r="H413">
        <v>107</v>
      </c>
      <c r="I413">
        <v>2022</v>
      </c>
      <c r="J413" t="s">
        <v>261</v>
      </c>
      <c r="K413">
        <v>25316</v>
      </c>
      <c r="L413" s="1">
        <v>44584</v>
      </c>
      <c r="M413" s="1" t="s">
        <v>3165</v>
      </c>
      <c r="N413" t="s">
        <v>808</v>
      </c>
      <c r="O413" t="s">
        <v>3149</v>
      </c>
    </row>
    <row r="414" spans="1:15" x14ac:dyDescent="0.3">
      <c r="A414" t="s">
        <v>814</v>
      </c>
      <c r="B414">
        <v>8</v>
      </c>
      <c r="C414" s="1">
        <v>44641</v>
      </c>
      <c r="D414" t="s">
        <v>815</v>
      </c>
      <c r="E414" t="s">
        <v>816</v>
      </c>
      <c r="F414" t="s">
        <v>15</v>
      </c>
      <c r="G414" t="s">
        <v>116</v>
      </c>
      <c r="H414">
        <v>108</v>
      </c>
      <c r="I414">
        <v>2013</v>
      </c>
      <c r="J414" t="s">
        <v>487</v>
      </c>
      <c r="K414">
        <v>154264</v>
      </c>
      <c r="L414" s="1">
        <v>41515</v>
      </c>
      <c r="M414" s="1" t="s">
        <v>3171</v>
      </c>
      <c r="N414" t="s">
        <v>817</v>
      </c>
      <c r="O414" t="s">
        <v>3149</v>
      </c>
    </row>
    <row r="415" spans="1:15" x14ac:dyDescent="0.3">
      <c r="A415" t="s">
        <v>827</v>
      </c>
      <c r="B415">
        <v>5</v>
      </c>
      <c r="C415" s="1">
        <v>44934</v>
      </c>
      <c r="D415" t="s">
        <v>828</v>
      </c>
      <c r="E415" t="s">
        <v>829</v>
      </c>
      <c r="F415" t="s">
        <v>15</v>
      </c>
      <c r="G415" t="s">
        <v>148</v>
      </c>
      <c r="H415">
        <v>158</v>
      </c>
      <c r="I415">
        <v>2022</v>
      </c>
      <c r="J415" t="s">
        <v>556</v>
      </c>
      <c r="K415">
        <v>88163</v>
      </c>
      <c r="L415" s="1">
        <v>44805</v>
      </c>
      <c r="M415" s="1" t="s">
        <v>3165</v>
      </c>
      <c r="N415" t="s">
        <v>830</v>
      </c>
      <c r="O415" t="s">
        <v>3149</v>
      </c>
    </row>
    <row r="416" spans="1:15" x14ac:dyDescent="0.3">
      <c r="A416" t="s">
        <v>831</v>
      </c>
      <c r="B416">
        <v>9</v>
      </c>
      <c r="C416" s="1">
        <v>44199</v>
      </c>
      <c r="D416" t="s">
        <v>832</v>
      </c>
      <c r="E416" t="s">
        <v>833</v>
      </c>
      <c r="F416" t="s">
        <v>15</v>
      </c>
      <c r="G416" t="s">
        <v>95</v>
      </c>
      <c r="H416">
        <v>97</v>
      </c>
      <c r="I416">
        <v>2013</v>
      </c>
      <c r="J416" t="s">
        <v>834</v>
      </c>
      <c r="K416">
        <v>114610</v>
      </c>
      <c r="L416" s="1">
        <v>41533</v>
      </c>
      <c r="M416" s="1" t="s">
        <v>3171</v>
      </c>
      <c r="N416" t="s">
        <v>835</v>
      </c>
      <c r="O416" t="s">
        <v>3149</v>
      </c>
    </row>
    <row r="417" spans="1:15" x14ac:dyDescent="0.3">
      <c r="A417" t="s">
        <v>836</v>
      </c>
      <c r="B417">
        <v>6</v>
      </c>
      <c r="C417" s="1">
        <v>45274</v>
      </c>
      <c r="D417" t="s">
        <v>837</v>
      </c>
      <c r="E417" t="s">
        <v>838</v>
      </c>
      <c r="F417" t="s">
        <v>15</v>
      </c>
      <c r="G417" t="s">
        <v>334</v>
      </c>
      <c r="H417">
        <v>146</v>
      </c>
      <c r="I417">
        <v>2011</v>
      </c>
      <c r="J417" t="s">
        <v>24</v>
      </c>
      <c r="K417">
        <v>485016</v>
      </c>
      <c r="L417" s="1">
        <v>40764</v>
      </c>
      <c r="M417" s="1" t="s">
        <v>3165</v>
      </c>
      <c r="N417" t="s">
        <v>839</v>
      </c>
      <c r="O417" t="s">
        <v>3149</v>
      </c>
    </row>
    <row r="418" spans="1:15" x14ac:dyDescent="0.3">
      <c r="A418" t="s">
        <v>840</v>
      </c>
      <c r="B418">
        <v>8</v>
      </c>
      <c r="C418" s="1">
        <v>44390</v>
      </c>
      <c r="D418" t="s">
        <v>841</v>
      </c>
      <c r="E418" t="s">
        <v>842</v>
      </c>
      <c r="F418" t="s">
        <v>551</v>
      </c>
      <c r="G418" t="s">
        <v>122</v>
      </c>
      <c r="H418">
        <v>87</v>
      </c>
      <c r="I418">
        <v>2021</v>
      </c>
      <c r="J418" t="s">
        <v>843</v>
      </c>
      <c r="K418">
        <v>53212</v>
      </c>
      <c r="L418" s="1">
        <v>44346</v>
      </c>
      <c r="M418" s="1" t="s">
        <v>3165</v>
      </c>
      <c r="N418" t="s">
        <v>844</v>
      </c>
      <c r="O418" t="s">
        <v>3149</v>
      </c>
    </row>
    <row r="419" spans="1:15" x14ac:dyDescent="0.3">
      <c r="A419" t="s">
        <v>845</v>
      </c>
      <c r="B419">
        <v>7</v>
      </c>
      <c r="C419" s="1">
        <v>44458</v>
      </c>
      <c r="D419" t="s">
        <v>846</v>
      </c>
      <c r="E419" t="s">
        <v>847</v>
      </c>
      <c r="F419" t="s">
        <v>47</v>
      </c>
      <c r="G419" t="s">
        <v>56</v>
      </c>
      <c r="H419">
        <v>6</v>
      </c>
      <c r="I419">
        <v>2021</v>
      </c>
      <c r="J419" t="s">
        <v>90</v>
      </c>
      <c r="K419">
        <v>24</v>
      </c>
      <c r="L419" s="1">
        <v>44350</v>
      </c>
      <c r="M419" s="1" t="s">
        <v>3154</v>
      </c>
      <c r="N419" t="s">
        <v>848</v>
      </c>
      <c r="O419" t="s">
        <v>3175</v>
      </c>
    </row>
    <row r="420" spans="1:15" x14ac:dyDescent="0.3">
      <c r="A420" t="s">
        <v>849</v>
      </c>
      <c r="B420">
        <v>7</v>
      </c>
      <c r="C420" s="1">
        <v>44325</v>
      </c>
      <c r="D420" t="s">
        <v>850</v>
      </c>
      <c r="E420" t="s">
        <v>851</v>
      </c>
      <c r="F420" t="s">
        <v>15</v>
      </c>
      <c r="G420" t="s">
        <v>95</v>
      </c>
      <c r="H420">
        <v>95</v>
      </c>
      <c r="I420">
        <v>2010</v>
      </c>
      <c r="J420" t="s">
        <v>178</v>
      </c>
      <c r="K420">
        <v>167097</v>
      </c>
      <c r="L420" s="1">
        <v>40201</v>
      </c>
      <c r="M420" s="1" t="s">
        <v>3159</v>
      </c>
      <c r="N420" t="s">
        <v>852</v>
      </c>
      <c r="O420" t="s">
        <v>3149</v>
      </c>
    </row>
    <row r="421" spans="1:15" x14ac:dyDescent="0.3">
      <c r="A421" t="s">
        <v>853</v>
      </c>
      <c r="B421">
        <v>7</v>
      </c>
      <c r="C421" s="1">
        <v>45248</v>
      </c>
      <c r="D421" t="s">
        <v>854</v>
      </c>
      <c r="E421" t="s">
        <v>855</v>
      </c>
      <c r="F421" t="s">
        <v>15</v>
      </c>
      <c r="G421" t="s">
        <v>163</v>
      </c>
      <c r="H421">
        <v>83</v>
      </c>
      <c r="I421">
        <v>2022</v>
      </c>
      <c r="J421" t="s">
        <v>421</v>
      </c>
      <c r="K421">
        <v>18314</v>
      </c>
      <c r="L421" s="1">
        <v>44815</v>
      </c>
      <c r="M421" s="1" t="s">
        <v>3165</v>
      </c>
      <c r="N421" t="s">
        <v>856</v>
      </c>
      <c r="O421" t="s">
        <v>3149</v>
      </c>
    </row>
    <row r="422" spans="1:15" x14ac:dyDescent="0.3">
      <c r="A422" t="s">
        <v>857</v>
      </c>
      <c r="B422">
        <v>9</v>
      </c>
      <c r="C422" s="1">
        <v>43473</v>
      </c>
      <c r="D422" t="s">
        <v>858</v>
      </c>
      <c r="E422" t="s">
        <v>859</v>
      </c>
      <c r="F422" t="s">
        <v>216</v>
      </c>
      <c r="G422" t="s">
        <v>860</v>
      </c>
      <c r="H422">
        <v>88</v>
      </c>
      <c r="I422">
        <v>2010</v>
      </c>
      <c r="J422" t="s">
        <v>409</v>
      </c>
      <c r="K422">
        <v>979407</v>
      </c>
      <c r="L422" s="1">
        <v>40381</v>
      </c>
      <c r="M422" s="1" t="s">
        <v>3171</v>
      </c>
      <c r="N422" t="s">
        <v>3199</v>
      </c>
      <c r="O422" t="s">
        <v>3149</v>
      </c>
    </row>
    <row r="423" spans="1:15" x14ac:dyDescent="0.3">
      <c r="A423" t="s">
        <v>861</v>
      </c>
      <c r="B423">
        <v>7</v>
      </c>
      <c r="C423" s="1">
        <v>44458</v>
      </c>
      <c r="D423" t="s">
        <v>862</v>
      </c>
      <c r="E423" t="s">
        <v>863</v>
      </c>
      <c r="F423" t="s">
        <v>47</v>
      </c>
      <c r="G423" t="s">
        <v>61</v>
      </c>
      <c r="H423">
        <v>14</v>
      </c>
      <c r="I423">
        <v>2021</v>
      </c>
      <c r="J423" t="s">
        <v>90</v>
      </c>
      <c r="K423">
        <v>24</v>
      </c>
      <c r="L423" s="1">
        <v>44377</v>
      </c>
      <c r="M423" s="1" t="s">
        <v>3154</v>
      </c>
      <c r="N423" t="s">
        <v>864</v>
      </c>
      <c r="O423" t="s">
        <v>3149</v>
      </c>
    </row>
    <row r="424" spans="1:15" x14ac:dyDescent="0.3">
      <c r="A424" t="s">
        <v>865</v>
      </c>
      <c r="B424">
        <v>7</v>
      </c>
      <c r="C424" s="1">
        <v>45276</v>
      </c>
      <c r="D424" t="s">
        <v>866</v>
      </c>
      <c r="E424" t="s">
        <v>867</v>
      </c>
      <c r="F424" t="s">
        <v>22</v>
      </c>
      <c r="G424" t="s">
        <v>198</v>
      </c>
      <c r="H424">
        <v>174</v>
      </c>
      <c r="I424">
        <v>2022</v>
      </c>
      <c r="J424" t="s">
        <v>370</v>
      </c>
      <c r="K424">
        <v>7436</v>
      </c>
      <c r="L424" s="1">
        <v>44663</v>
      </c>
      <c r="M424" s="1" t="s">
        <v>3171</v>
      </c>
      <c r="N424" t="s">
        <v>3184</v>
      </c>
      <c r="O424" t="s">
        <v>3149</v>
      </c>
    </row>
    <row r="425" spans="1:15" x14ac:dyDescent="0.3">
      <c r="A425" t="s">
        <v>868</v>
      </c>
      <c r="B425">
        <v>6</v>
      </c>
      <c r="C425" s="1">
        <v>44947</v>
      </c>
      <c r="D425" t="s">
        <v>869</v>
      </c>
      <c r="E425" t="s">
        <v>870</v>
      </c>
      <c r="F425" t="s">
        <v>22</v>
      </c>
      <c r="G425" t="s">
        <v>148</v>
      </c>
      <c r="H425">
        <v>138</v>
      </c>
      <c r="I425">
        <v>2021</v>
      </c>
      <c r="J425" t="s">
        <v>871</v>
      </c>
      <c r="K425">
        <v>11015</v>
      </c>
      <c r="L425" s="1">
        <v>44386</v>
      </c>
      <c r="M425" s="1" t="s">
        <v>3165</v>
      </c>
      <c r="N425" t="s">
        <v>25</v>
      </c>
      <c r="O425" t="s">
        <v>3149</v>
      </c>
    </row>
    <row r="426" spans="1:15" x14ac:dyDescent="0.3">
      <c r="A426" t="s">
        <v>872</v>
      </c>
      <c r="B426">
        <v>7</v>
      </c>
      <c r="C426" s="1">
        <v>45268</v>
      </c>
      <c r="D426" t="s">
        <v>873</v>
      </c>
      <c r="E426" t="s">
        <v>874</v>
      </c>
      <c r="F426" t="s">
        <v>15</v>
      </c>
      <c r="G426" t="s">
        <v>29</v>
      </c>
      <c r="H426">
        <v>133</v>
      </c>
      <c r="I426">
        <v>2023</v>
      </c>
      <c r="J426" t="s">
        <v>261</v>
      </c>
      <c r="K426">
        <v>36116</v>
      </c>
      <c r="L426" s="1">
        <v>45169</v>
      </c>
      <c r="M426" s="1" t="s">
        <v>3165</v>
      </c>
      <c r="N426" t="s">
        <v>875</v>
      </c>
      <c r="O426" t="s">
        <v>3149</v>
      </c>
    </row>
    <row r="427" spans="1:15" x14ac:dyDescent="0.3">
      <c r="A427" t="s">
        <v>876</v>
      </c>
      <c r="B427">
        <v>7</v>
      </c>
      <c r="C427" s="1">
        <v>45096</v>
      </c>
      <c r="D427" t="s">
        <v>877</v>
      </c>
      <c r="E427" t="s">
        <v>878</v>
      </c>
      <c r="F427" t="s">
        <v>15</v>
      </c>
      <c r="G427" t="s">
        <v>198</v>
      </c>
      <c r="H427">
        <v>102</v>
      </c>
      <c r="I427">
        <v>2019</v>
      </c>
      <c r="J427" t="s">
        <v>235</v>
      </c>
      <c r="K427">
        <v>128788</v>
      </c>
      <c r="L427" s="1">
        <v>43534</v>
      </c>
      <c r="M427" s="1" t="s">
        <v>3165</v>
      </c>
      <c r="N427" t="s">
        <v>245</v>
      </c>
      <c r="O427" t="s">
        <v>3175</v>
      </c>
    </row>
    <row r="428" spans="1:15" x14ac:dyDescent="0.3">
      <c r="A428" t="s">
        <v>879</v>
      </c>
      <c r="B428">
        <v>6</v>
      </c>
      <c r="C428" s="1">
        <v>45170</v>
      </c>
      <c r="D428" t="s">
        <v>880</v>
      </c>
      <c r="E428" t="s">
        <v>881</v>
      </c>
      <c r="F428" t="s">
        <v>47</v>
      </c>
      <c r="G428" t="s">
        <v>882</v>
      </c>
      <c r="H428">
        <v>10</v>
      </c>
      <c r="I428">
        <v>2013</v>
      </c>
      <c r="J428" t="s">
        <v>48</v>
      </c>
      <c r="K428">
        <v>11</v>
      </c>
      <c r="M428" s="1" t="s">
        <v>3154</v>
      </c>
      <c r="N428" t="s">
        <v>883</v>
      </c>
      <c r="O428" t="s">
        <v>3175</v>
      </c>
    </row>
    <row r="429" spans="1:15" x14ac:dyDescent="0.3">
      <c r="A429" t="s">
        <v>884</v>
      </c>
      <c r="B429">
        <v>3</v>
      </c>
      <c r="C429" s="1">
        <v>45135</v>
      </c>
      <c r="D429" t="s">
        <v>885</v>
      </c>
      <c r="E429" t="s">
        <v>886</v>
      </c>
      <c r="F429" t="s">
        <v>47</v>
      </c>
      <c r="G429" t="s">
        <v>61</v>
      </c>
      <c r="H429">
        <v>20</v>
      </c>
      <c r="I429">
        <v>2009</v>
      </c>
      <c r="J429" t="s">
        <v>456</v>
      </c>
      <c r="K429">
        <v>3574</v>
      </c>
      <c r="L429" s="1">
        <v>40056</v>
      </c>
      <c r="M429" s="1" t="s">
        <v>3165</v>
      </c>
      <c r="N429" t="s">
        <v>887</v>
      </c>
      <c r="O429" t="s">
        <v>3149</v>
      </c>
    </row>
    <row r="430" spans="1:15" x14ac:dyDescent="0.3">
      <c r="A430" t="s">
        <v>888</v>
      </c>
      <c r="B430">
        <v>7</v>
      </c>
      <c r="C430" s="1">
        <v>44423</v>
      </c>
      <c r="D430" t="s">
        <v>889</v>
      </c>
      <c r="E430" t="s">
        <v>890</v>
      </c>
      <c r="F430" t="s">
        <v>15</v>
      </c>
      <c r="G430" t="s">
        <v>148</v>
      </c>
      <c r="H430">
        <v>100</v>
      </c>
      <c r="I430">
        <v>2021</v>
      </c>
      <c r="J430" t="s">
        <v>891</v>
      </c>
      <c r="K430">
        <v>103</v>
      </c>
      <c r="L430" s="1">
        <v>44422</v>
      </c>
      <c r="M430" s="1" t="s">
        <v>3154</v>
      </c>
      <c r="N430" t="s">
        <v>892</v>
      </c>
      <c r="O430" t="s">
        <v>3149</v>
      </c>
    </row>
    <row r="431" spans="1:15" x14ac:dyDescent="0.3">
      <c r="A431" t="s">
        <v>893</v>
      </c>
      <c r="B431">
        <v>7</v>
      </c>
      <c r="C431" s="1">
        <v>44426</v>
      </c>
      <c r="D431" t="s">
        <v>894</v>
      </c>
      <c r="E431" t="s">
        <v>895</v>
      </c>
      <c r="F431" t="s">
        <v>15</v>
      </c>
      <c r="G431" t="s">
        <v>417</v>
      </c>
      <c r="H431">
        <v>101</v>
      </c>
      <c r="I431">
        <v>2021</v>
      </c>
      <c r="J431" t="s">
        <v>896</v>
      </c>
      <c r="K431">
        <v>24</v>
      </c>
      <c r="L431" s="1">
        <v>44425</v>
      </c>
      <c r="M431" s="1" t="s">
        <v>3154</v>
      </c>
      <c r="N431" t="s">
        <v>897</v>
      </c>
      <c r="O431" t="s">
        <v>3149</v>
      </c>
    </row>
    <row r="432" spans="1:15" x14ac:dyDescent="0.3">
      <c r="A432" t="s">
        <v>898</v>
      </c>
      <c r="B432">
        <v>8</v>
      </c>
      <c r="C432" s="1">
        <v>45174</v>
      </c>
      <c r="D432" t="s">
        <v>899</v>
      </c>
      <c r="E432" t="s">
        <v>900</v>
      </c>
      <c r="F432" t="s">
        <v>15</v>
      </c>
      <c r="G432" t="s">
        <v>35</v>
      </c>
      <c r="H432">
        <v>114</v>
      </c>
      <c r="I432">
        <v>2023</v>
      </c>
      <c r="J432" t="s">
        <v>901</v>
      </c>
      <c r="K432">
        <v>440288</v>
      </c>
      <c r="L432" s="1">
        <v>45116</v>
      </c>
      <c r="M432" s="1" t="s">
        <v>3165</v>
      </c>
      <c r="N432" t="s">
        <v>902</v>
      </c>
      <c r="O432" t="s">
        <v>3175</v>
      </c>
    </row>
    <row r="433" spans="1:15" x14ac:dyDescent="0.3">
      <c r="A433" t="s">
        <v>903</v>
      </c>
      <c r="B433">
        <v>5</v>
      </c>
      <c r="C433" s="1">
        <v>44428</v>
      </c>
      <c r="D433" t="s">
        <v>904</v>
      </c>
      <c r="E433" t="s">
        <v>905</v>
      </c>
      <c r="F433" t="s">
        <v>15</v>
      </c>
      <c r="G433" t="s">
        <v>73</v>
      </c>
      <c r="H433">
        <v>75</v>
      </c>
      <c r="I433">
        <v>2021</v>
      </c>
      <c r="J433" t="s">
        <v>25</v>
      </c>
      <c r="K433">
        <v>16</v>
      </c>
      <c r="L433" s="1">
        <v>44428</v>
      </c>
      <c r="M433" s="1" t="s">
        <v>3154</v>
      </c>
      <c r="N433" t="s">
        <v>906</v>
      </c>
      <c r="O433" t="s">
        <v>3149</v>
      </c>
    </row>
    <row r="434" spans="1:15" x14ac:dyDescent="0.3">
      <c r="A434" t="s">
        <v>907</v>
      </c>
      <c r="B434">
        <v>3</v>
      </c>
      <c r="C434" s="1">
        <v>44428</v>
      </c>
      <c r="D434" t="s">
        <v>908</v>
      </c>
      <c r="E434" t="s">
        <v>909</v>
      </c>
      <c r="F434" t="s">
        <v>15</v>
      </c>
      <c r="G434" t="s">
        <v>95</v>
      </c>
      <c r="H434">
        <v>120</v>
      </c>
      <c r="I434">
        <v>2021</v>
      </c>
      <c r="J434" t="s">
        <v>24</v>
      </c>
      <c r="K434">
        <v>65</v>
      </c>
      <c r="L434" s="1">
        <v>44427</v>
      </c>
      <c r="M434" s="1" t="s">
        <v>3154</v>
      </c>
      <c r="N434" t="s">
        <v>910</v>
      </c>
      <c r="O434" t="s">
        <v>3149</v>
      </c>
    </row>
    <row r="435" spans="1:15" x14ac:dyDescent="0.3">
      <c r="A435" t="s">
        <v>911</v>
      </c>
      <c r="B435">
        <v>8</v>
      </c>
      <c r="C435" s="1">
        <v>43853</v>
      </c>
      <c r="D435" t="s">
        <v>912</v>
      </c>
      <c r="E435" t="s">
        <v>913</v>
      </c>
      <c r="F435" t="s">
        <v>15</v>
      </c>
      <c r="G435" t="s">
        <v>198</v>
      </c>
      <c r="H435">
        <v>135</v>
      </c>
      <c r="I435">
        <v>2011</v>
      </c>
      <c r="J435" t="s">
        <v>462</v>
      </c>
      <c r="K435">
        <v>193110</v>
      </c>
      <c r="L435" s="1">
        <v>40681</v>
      </c>
      <c r="M435" s="1" t="s">
        <v>3188</v>
      </c>
      <c r="N435" t="s">
        <v>914</v>
      </c>
      <c r="O435" t="s">
        <v>3149</v>
      </c>
    </row>
    <row r="436" spans="1:15" x14ac:dyDescent="0.3">
      <c r="A436" t="s">
        <v>915</v>
      </c>
      <c r="B436">
        <v>7</v>
      </c>
      <c r="C436" s="1">
        <v>45120</v>
      </c>
      <c r="D436" t="s">
        <v>916</v>
      </c>
      <c r="E436" t="s">
        <v>917</v>
      </c>
      <c r="F436" t="s">
        <v>15</v>
      </c>
      <c r="G436" t="s">
        <v>116</v>
      </c>
      <c r="H436">
        <v>96</v>
      </c>
      <c r="I436">
        <v>2022</v>
      </c>
      <c r="J436" t="s">
        <v>117</v>
      </c>
      <c r="K436">
        <v>6996</v>
      </c>
      <c r="L436" s="1">
        <v>44816</v>
      </c>
      <c r="M436" s="1" t="s">
        <v>3165</v>
      </c>
      <c r="N436" t="s">
        <v>918</v>
      </c>
      <c r="O436" t="s">
        <v>3149</v>
      </c>
    </row>
    <row r="437" spans="1:15" x14ac:dyDescent="0.3">
      <c r="A437" t="s">
        <v>919</v>
      </c>
      <c r="B437">
        <v>6</v>
      </c>
      <c r="C437" s="1">
        <v>44458</v>
      </c>
      <c r="D437" t="s">
        <v>920</v>
      </c>
      <c r="E437" t="s">
        <v>921</v>
      </c>
      <c r="F437" t="s">
        <v>47</v>
      </c>
      <c r="G437" t="s">
        <v>25</v>
      </c>
      <c r="H437">
        <v>5</v>
      </c>
      <c r="I437">
        <v>2021</v>
      </c>
      <c r="J437" t="s">
        <v>922</v>
      </c>
      <c r="L437" s="1">
        <v>44207</v>
      </c>
      <c r="M437" s="1" t="s">
        <v>3154</v>
      </c>
      <c r="N437" t="s">
        <v>923</v>
      </c>
      <c r="O437" t="s">
        <v>3149</v>
      </c>
    </row>
    <row r="438" spans="1:15" x14ac:dyDescent="0.3">
      <c r="A438" t="s">
        <v>924</v>
      </c>
      <c r="B438">
        <v>7</v>
      </c>
      <c r="C438" s="1">
        <v>45242</v>
      </c>
      <c r="D438" t="s">
        <v>925</v>
      </c>
      <c r="E438" t="s">
        <v>926</v>
      </c>
      <c r="F438" t="s">
        <v>15</v>
      </c>
      <c r="G438" t="s">
        <v>927</v>
      </c>
      <c r="H438">
        <v>180</v>
      </c>
      <c r="I438">
        <v>2023</v>
      </c>
      <c r="J438" t="s">
        <v>230</v>
      </c>
      <c r="K438">
        <v>573201</v>
      </c>
      <c r="L438" s="1">
        <v>45118</v>
      </c>
      <c r="M438" s="1" t="s">
        <v>3165</v>
      </c>
      <c r="N438" t="s">
        <v>756</v>
      </c>
      <c r="O438" t="s">
        <v>3149</v>
      </c>
    </row>
    <row r="439" spans="1:15" x14ac:dyDescent="0.3">
      <c r="A439" t="s">
        <v>928</v>
      </c>
      <c r="B439">
        <v>3</v>
      </c>
      <c r="C439" s="1">
        <v>45230</v>
      </c>
      <c r="D439" t="s">
        <v>929</v>
      </c>
      <c r="E439" t="s">
        <v>930</v>
      </c>
      <c r="F439" t="s">
        <v>15</v>
      </c>
      <c r="G439" t="s">
        <v>931</v>
      </c>
      <c r="H439">
        <v>93</v>
      </c>
      <c r="I439">
        <v>2023</v>
      </c>
      <c r="J439" t="s">
        <v>932</v>
      </c>
      <c r="K439">
        <v>3096</v>
      </c>
      <c r="L439" s="1">
        <v>45168</v>
      </c>
      <c r="M439" s="1" t="s">
        <v>3165</v>
      </c>
      <c r="N439" t="s">
        <v>933</v>
      </c>
      <c r="O439" t="s">
        <v>3149</v>
      </c>
    </row>
    <row r="440" spans="1:15" x14ac:dyDescent="0.3">
      <c r="A440" t="s">
        <v>934</v>
      </c>
      <c r="B440">
        <v>6</v>
      </c>
      <c r="C440" s="1">
        <v>44458</v>
      </c>
      <c r="D440" t="s">
        <v>935</v>
      </c>
      <c r="E440" t="s">
        <v>936</v>
      </c>
      <c r="F440" t="s">
        <v>47</v>
      </c>
      <c r="G440" t="s">
        <v>23</v>
      </c>
      <c r="H440">
        <v>15</v>
      </c>
      <c r="I440">
        <v>2021</v>
      </c>
      <c r="J440" t="s">
        <v>90</v>
      </c>
      <c r="K440">
        <v>7</v>
      </c>
      <c r="L440" s="1">
        <v>44441</v>
      </c>
      <c r="M440" s="1" t="s">
        <v>3154</v>
      </c>
      <c r="N440" t="s">
        <v>937</v>
      </c>
      <c r="O440" t="s">
        <v>3149</v>
      </c>
    </row>
    <row r="441" spans="1:15" x14ac:dyDescent="0.3">
      <c r="A441" t="s">
        <v>938</v>
      </c>
      <c r="B441">
        <v>6</v>
      </c>
      <c r="C441" s="1">
        <v>44458</v>
      </c>
      <c r="D441" t="s">
        <v>939</v>
      </c>
      <c r="E441" t="s">
        <v>940</v>
      </c>
      <c r="F441" t="s">
        <v>47</v>
      </c>
      <c r="G441" t="s">
        <v>25</v>
      </c>
      <c r="H441">
        <v>11</v>
      </c>
      <c r="I441">
        <v>2021</v>
      </c>
      <c r="J441" t="s">
        <v>90</v>
      </c>
      <c r="L441" s="1">
        <v>44441</v>
      </c>
      <c r="M441" s="1" t="s">
        <v>3154</v>
      </c>
      <c r="N441" t="s">
        <v>941</v>
      </c>
      <c r="O441" t="s">
        <v>3149</v>
      </c>
    </row>
    <row r="442" spans="1:15" x14ac:dyDescent="0.3">
      <c r="A442" t="s">
        <v>942</v>
      </c>
      <c r="B442">
        <v>6</v>
      </c>
      <c r="C442" s="1">
        <v>44503</v>
      </c>
      <c r="D442" t="s">
        <v>943</v>
      </c>
      <c r="E442" t="s">
        <v>944</v>
      </c>
      <c r="F442" t="s">
        <v>47</v>
      </c>
      <c r="G442" t="s">
        <v>41</v>
      </c>
      <c r="H442">
        <v>17</v>
      </c>
      <c r="I442">
        <v>2021</v>
      </c>
      <c r="J442" t="s">
        <v>199</v>
      </c>
      <c r="K442">
        <v>26</v>
      </c>
      <c r="L442" s="1">
        <v>44463</v>
      </c>
      <c r="M442" s="1" t="s">
        <v>3154</v>
      </c>
      <c r="N442" t="s">
        <v>945</v>
      </c>
      <c r="O442" t="s">
        <v>3175</v>
      </c>
    </row>
    <row r="443" spans="1:15" x14ac:dyDescent="0.3">
      <c r="A443" t="s">
        <v>946</v>
      </c>
      <c r="B443">
        <v>7</v>
      </c>
      <c r="C443" s="1">
        <v>45235</v>
      </c>
      <c r="D443" t="s">
        <v>947</v>
      </c>
      <c r="E443" t="s">
        <v>948</v>
      </c>
      <c r="F443" t="s">
        <v>22</v>
      </c>
      <c r="G443" t="s">
        <v>143</v>
      </c>
      <c r="H443">
        <v>493</v>
      </c>
      <c r="I443">
        <v>2023</v>
      </c>
      <c r="J443" t="s">
        <v>153</v>
      </c>
      <c r="K443">
        <v>91154</v>
      </c>
      <c r="L443" s="1">
        <v>45211</v>
      </c>
      <c r="M443" s="1" t="s">
        <v>3165</v>
      </c>
      <c r="N443" t="s">
        <v>2235</v>
      </c>
      <c r="O443" t="s">
        <v>3149</v>
      </c>
    </row>
    <row r="444" spans="1:15" x14ac:dyDescent="0.3">
      <c r="A444" t="s">
        <v>954</v>
      </c>
      <c r="B444">
        <v>6</v>
      </c>
      <c r="C444" s="1">
        <v>45139</v>
      </c>
      <c r="D444" t="s">
        <v>955</v>
      </c>
      <c r="E444" t="s">
        <v>956</v>
      </c>
      <c r="F444" t="s">
        <v>15</v>
      </c>
      <c r="G444" t="s">
        <v>148</v>
      </c>
      <c r="H444">
        <v>118</v>
      </c>
      <c r="I444">
        <v>2011</v>
      </c>
      <c r="J444" t="s">
        <v>17</v>
      </c>
      <c r="K444">
        <v>553485</v>
      </c>
      <c r="L444" s="1">
        <v>40743</v>
      </c>
      <c r="M444" s="1" t="s">
        <v>3165</v>
      </c>
      <c r="N444" t="s">
        <v>957</v>
      </c>
      <c r="O444" t="s">
        <v>3149</v>
      </c>
    </row>
    <row r="445" spans="1:15" x14ac:dyDescent="0.3">
      <c r="A445" t="s">
        <v>958</v>
      </c>
      <c r="B445">
        <v>7</v>
      </c>
      <c r="C445" s="1">
        <v>44874</v>
      </c>
      <c r="D445" t="s">
        <v>959</v>
      </c>
      <c r="E445" t="s">
        <v>960</v>
      </c>
      <c r="F445" t="s">
        <v>15</v>
      </c>
      <c r="G445" t="s">
        <v>346</v>
      </c>
      <c r="H445">
        <v>99</v>
      </c>
      <c r="I445">
        <v>2011</v>
      </c>
      <c r="J445" t="s">
        <v>961</v>
      </c>
      <c r="K445">
        <v>107578</v>
      </c>
      <c r="L445" s="1">
        <v>40788</v>
      </c>
      <c r="M445" s="1" t="s">
        <v>3171</v>
      </c>
      <c r="N445" t="s">
        <v>253</v>
      </c>
      <c r="O445" t="s">
        <v>3149</v>
      </c>
    </row>
    <row r="446" spans="1:15" x14ac:dyDescent="0.3">
      <c r="A446" t="s">
        <v>965</v>
      </c>
      <c r="B446">
        <v>7</v>
      </c>
      <c r="C446" s="1">
        <v>44749</v>
      </c>
      <c r="D446" t="s">
        <v>966</v>
      </c>
      <c r="E446" t="s">
        <v>967</v>
      </c>
      <c r="F446" t="s">
        <v>15</v>
      </c>
      <c r="G446" t="s">
        <v>95</v>
      </c>
      <c r="H446">
        <v>101</v>
      </c>
      <c r="I446">
        <v>2010</v>
      </c>
      <c r="J446" t="s">
        <v>42</v>
      </c>
      <c r="K446">
        <v>30092</v>
      </c>
      <c r="L446" s="1">
        <v>40314</v>
      </c>
      <c r="M446" s="1" t="s">
        <v>3155</v>
      </c>
      <c r="N446" t="s">
        <v>968</v>
      </c>
      <c r="O446" t="s">
        <v>3149</v>
      </c>
    </row>
    <row r="447" spans="1:15" x14ac:dyDescent="0.3">
      <c r="A447" t="s">
        <v>969</v>
      </c>
      <c r="B447">
        <v>4</v>
      </c>
      <c r="C447" s="1">
        <v>44645</v>
      </c>
      <c r="D447" t="s">
        <v>970</v>
      </c>
      <c r="E447" t="s">
        <v>971</v>
      </c>
      <c r="F447" t="s">
        <v>15</v>
      </c>
      <c r="G447" t="s">
        <v>379</v>
      </c>
      <c r="H447">
        <v>90</v>
      </c>
      <c r="I447">
        <v>2013</v>
      </c>
      <c r="J447" t="s">
        <v>311</v>
      </c>
      <c r="K447">
        <v>117051</v>
      </c>
      <c r="L447" s="1">
        <v>41416</v>
      </c>
      <c r="M447" s="1" t="s">
        <v>3188</v>
      </c>
      <c r="N447" t="s">
        <v>972</v>
      </c>
      <c r="O447" t="s">
        <v>3149</v>
      </c>
    </row>
    <row r="448" spans="1:15" x14ac:dyDescent="0.3">
      <c r="A448" t="s">
        <v>973</v>
      </c>
      <c r="B448">
        <v>8</v>
      </c>
      <c r="C448" s="1">
        <v>44394</v>
      </c>
      <c r="D448" t="s">
        <v>974</v>
      </c>
      <c r="E448" t="s">
        <v>975</v>
      </c>
      <c r="F448" t="s">
        <v>15</v>
      </c>
      <c r="G448" t="s">
        <v>41</v>
      </c>
      <c r="H448">
        <v>94</v>
      </c>
      <c r="I448">
        <v>2011</v>
      </c>
      <c r="J448" t="s">
        <v>976</v>
      </c>
      <c r="K448">
        <v>445101</v>
      </c>
      <c r="L448" s="1">
        <v>40674</v>
      </c>
      <c r="M448" s="1" t="s">
        <v>3165</v>
      </c>
      <c r="N448" t="s">
        <v>977</v>
      </c>
      <c r="O448" t="s">
        <v>3149</v>
      </c>
    </row>
    <row r="449" spans="1:15" x14ac:dyDescent="0.3">
      <c r="A449" t="s">
        <v>978</v>
      </c>
      <c r="B449">
        <v>7</v>
      </c>
      <c r="C449" s="1">
        <v>44553</v>
      </c>
      <c r="D449" t="s">
        <v>979</v>
      </c>
      <c r="E449" t="s">
        <v>980</v>
      </c>
      <c r="F449" t="s">
        <v>551</v>
      </c>
      <c r="G449" t="s">
        <v>95</v>
      </c>
      <c r="H449">
        <v>58</v>
      </c>
      <c r="I449">
        <v>2021</v>
      </c>
      <c r="J449" t="s">
        <v>235</v>
      </c>
      <c r="K449">
        <v>333</v>
      </c>
      <c r="L449" s="1">
        <v>44534</v>
      </c>
      <c r="M449" s="1" t="s">
        <v>3165</v>
      </c>
      <c r="N449" t="s">
        <v>981</v>
      </c>
      <c r="O449" t="s">
        <v>3149</v>
      </c>
    </row>
    <row r="450" spans="1:15" x14ac:dyDescent="0.3">
      <c r="A450" t="s">
        <v>982</v>
      </c>
      <c r="B450">
        <v>7</v>
      </c>
      <c r="C450" s="1">
        <v>44998</v>
      </c>
      <c r="D450" t="s">
        <v>983</v>
      </c>
      <c r="E450" t="s">
        <v>984</v>
      </c>
      <c r="F450" t="s">
        <v>15</v>
      </c>
      <c r="G450" t="s">
        <v>158</v>
      </c>
      <c r="H450">
        <v>100</v>
      </c>
      <c r="I450">
        <v>2016</v>
      </c>
      <c r="J450" t="s">
        <v>574</v>
      </c>
      <c r="K450">
        <v>82800</v>
      </c>
      <c r="L450" s="1">
        <v>42620</v>
      </c>
      <c r="M450" s="1" t="s">
        <v>3165</v>
      </c>
      <c r="N450" t="s">
        <v>602</v>
      </c>
      <c r="O450" t="s">
        <v>3149</v>
      </c>
    </row>
    <row r="451" spans="1:15" x14ac:dyDescent="0.3">
      <c r="A451" t="s">
        <v>985</v>
      </c>
      <c r="B451">
        <v>6</v>
      </c>
      <c r="C451" s="1">
        <v>43694</v>
      </c>
      <c r="D451" t="s">
        <v>986</v>
      </c>
      <c r="E451" t="s">
        <v>987</v>
      </c>
      <c r="F451" t="s">
        <v>15</v>
      </c>
      <c r="G451" t="s">
        <v>882</v>
      </c>
      <c r="H451">
        <v>92</v>
      </c>
      <c r="I451">
        <v>2011</v>
      </c>
      <c r="J451" t="s">
        <v>421</v>
      </c>
      <c r="K451">
        <v>123451</v>
      </c>
      <c r="L451" s="1">
        <v>40759</v>
      </c>
      <c r="M451" s="1" t="s">
        <v>3165</v>
      </c>
      <c r="N451" t="s">
        <v>988</v>
      </c>
      <c r="O451" t="s">
        <v>3149</v>
      </c>
    </row>
    <row r="452" spans="1:15" x14ac:dyDescent="0.3">
      <c r="A452" t="s">
        <v>989</v>
      </c>
      <c r="B452">
        <v>7</v>
      </c>
      <c r="C452" s="1">
        <v>44557</v>
      </c>
      <c r="D452" t="s">
        <v>990</v>
      </c>
      <c r="E452" t="s">
        <v>991</v>
      </c>
      <c r="F452" t="s">
        <v>551</v>
      </c>
      <c r="G452" t="s">
        <v>198</v>
      </c>
      <c r="H452">
        <v>59</v>
      </c>
      <c r="I452">
        <v>2021</v>
      </c>
      <c r="J452" t="s">
        <v>235</v>
      </c>
      <c r="K452">
        <v>5808</v>
      </c>
      <c r="L452" s="1">
        <v>44555</v>
      </c>
      <c r="M452" s="1" t="s">
        <v>3171</v>
      </c>
      <c r="N452" t="s">
        <v>992</v>
      </c>
    </row>
    <row r="453" spans="1:15" x14ac:dyDescent="0.3">
      <c r="A453" t="s">
        <v>993</v>
      </c>
      <c r="B453">
        <v>8</v>
      </c>
      <c r="C453" s="1">
        <v>44869</v>
      </c>
      <c r="D453" t="s">
        <v>994</v>
      </c>
      <c r="E453" t="s">
        <v>995</v>
      </c>
      <c r="F453" t="s">
        <v>15</v>
      </c>
      <c r="G453" t="s">
        <v>35</v>
      </c>
      <c r="H453">
        <v>100</v>
      </c>
      <c r="I453">
        <v>2022</v>
      </c>
      <c r="J453" t="s">
        <v>193</v>
      </c>
      <c r="K453">
        <v>1744</v>
      </c>
      <c r="L453" s="1">
        <v>44582</v>
      </c>
      <c r="M453" s="1" t="s">
        <v>3154</v>
      </c>
      <c r="N453" t="s">
        <v>996</v>
      </c>
      <c r="O453" t="s">
        <v>3175</v>
      </c>
    </row>
    <row r="454" spans="1:15" x14ac:dyDescent="0.3">
      <c r="A454" t="s">
        <v>997</v>
      </c>
      <c r="B454">
        <v>7</v>
      </c>
      <c r="C454" s="1">
        <v>44997</v>
      </c>
      <c r="D454" t="s">
        <v>998</v>
      </c>
      <c r="E454" t="s">
        <v>999</v>
      </c>
      <c r="F454" t="s">
        <v>15</v>
      </c>
      <c r="G454" t="s">
        <v>79</v>
      </c>
      <c r="H454">
        <v>87</v>
      </c>
      <c r="I454">
        <v>2022</v>
      </c>
      <c r="J454" t="s">
        <v>96</v>
      </c>
      <c r="K454">
        <v>1991</v>
      </c>
      <c r="L454" s="1">
        <v>44584</v>
      </c>
      <c r="M454" s="1" t="s">
        <v>3188</v>
      </c>
      <c r="N454" t="s">
        <v>1000</v>
      </c>
      <c r="O454" t="s">
        <v>3149</v>
      </c>
    </row>
    <row r="455" spans="1:15" x14ac:dyDescent="0.3">
      <c r="A455" t="s">
        <v>1005</v>
      </c>
      <c r="B455">
        <v>5</v>
      </c>
      <c r="C455" s="1">
        <v>44877</v>
      </c>
      <c r="D455" t="s">
        <v>1006</v>
      </c>
      <c r="E455" t="s">
        <v>1007</v>
      </c>
      <c r="F455" t="s">
        <v>47</v>
      </c>
      <c r="G455" t="s">
        <v>1008</v>
      </c>
      <c r="H455">
        <v>43</v>
      </c>
      <c r="I455">
        <v>2021</v>
      </c>
      <c r="J455" t="s">
        <v>199</v>
      </c>
      <c r="K455">
        <v>123</v>
      </c>
      <c r="L455" s="1">
        <v>44543</v>
      </c>
      <c r="M455" s="1" t="s">
        <v>3194</v>
      </c>
      <c r="N455" t="s">
        <v>69</v>
      </c>
      <c r="O455" t="s">
        <v>3149</v>
      </c>
    </row>
    <row r="456" spans="1:15" x14ac:dyDescent="0.3">
      <c r="A456" t="s">
        <v>1009</v>
      </c>
      <c r="B456">
        <v>7</v>
      </c>
      <c r="C456" s="1">
        <v>44021</v>
      </c>
      <c r="D456" t="s">
        <v>1010</v>
      </c>
      <c r="E456" t="s">
        <v>1011</v>
      </c>
      <c r="F456" t="s">
        <v>15</v>
      </c>
      <c r="G456" t="s">
        <v>346</v>
      </c>
      <c r="H456">
        <v>83</v>
      </c>
      <c r="I456">
        <v>2012</v>
      </c>
      <c r="J456" t="s">
        <v>235</v>
      </c>
      <c r="K456">
        <v>329318</v>
      </c>
      <c r="L456" s="1">
        <v>41045</v>
      </c>
      <c r="M456" s="1" t="s">
        <v>3165</v>
      </c>
      <c r="N456" t="s">
        <v>1012</v>
      </c>
      <c r="O456" t="s">
        <v>3149</v>
      </c>
    </row>
    <row r="457" spans="1:15" x14ac:dyDescent="0.3">
      <c r="A457" t="s">
        <v>1013</v>
      </c>
      <c r="B457">
        <v>8</v>
      </c>
      <c r="C457" s="1">
        <v>44553</v>
      </c>
      <c r="D457" t="s">
        <v>1014</v>
      </c>
      <c r="E457" t="s">
        <v>1015</v>
      </c>
      <c r="F457" t="s">
        <v>551</v>
      </c>
      <c r="G457" t="s">
        <v>84</v>
      </c>
      <c r="H457">
        <v>63</v>
      </c>
      <c r="I457">
        <v>2021</v>
      </c>
      <c r="J457" t="s">
        <v>235</v>
      </c>
      <c r="K457">
        <v>3712</v>
      </c>
      <c r="L457" s="1">
        <v>44548</v>
      </c>
      <c r="M457" s="1" t="s">
        <v>3165</v>
      </c>
      <c r="N457" t="s">
        <v>552</v>
      </c>
      <c r="O457" t="s">
        <v>3149</v>
      </c>
    </row>
    <row r="458" spans="1:15" x14ac:dyDescent="0.3">
      <c r="A458" t="s">
        <v>1016</v>
      </c>
      <c r="B458">
        <v>7</v>
      </c>
      <c r="C458" s="1">
        <v>44839</v>
      </c>
      <c r="D458" t="s">
        <v>1017</v>
      </c>
      <c r="E458" t="s">
        <v>1018</v>
      </c>
      <c r="F458" t="s">
        <v>47</v>
      </c>
      <c r="G458" t="s">
        <v>35</v>
      </c>
      <c r="H458">
        <v>44</v>
      </c>
      <c r="I458">
        <v>2010</v>
      </c>
      <c r="J458" t="s">
        <v>297</v>
      </c>
      <c r="K458">
        <v>466</v>
      </c>
      <c r="L458" s="1">
        <v>40318</v>
      </c>
      <c r="M458" s="1" t="s">
        <v>3155</v>
      </c>
      <c r="N458" t="s">
        <v>1019</v>
      </c>
      <c r="O458" t="s">
        <v>3149</v>
      </c>
    </row>
    <row r="459" spans="1:15" x14ac:dyDescent="0.3">
      <c r="A459" t="s">
        <v>1020</v>
      </c>
      <c r="B459">
        <v>8</v>
      </c>
      <c r="C459" s="1">
        <v>44832</v>
      </c>
      <c r="D459" t="s">
        <v>1021</v>
      </c>
      <c r="E459" t="s">
        <v>1022</v>
      </c>
      <c r="F459" t="s">
        <v>15</v>
      </c>
      <c r="G459" t="s">
        <v>461</v>
      </c>
      <c r="H459">
        <v>167</v>
      </c>
      <c r="I459">
        <v>2022</v>
      </c>
      <c r="J459" t="s">
        <v>1023</v>
      </c>
      <c r="K459">
        <v>70135</v>
      </c>
      <c r="L459" s="1">
        <v>44812</v>
      </c>
      <c r="M459" s="1" t="s">
        <v>3165</v>
      </c>
      <c r="N459" t="s">
        <v>1024</v>
      </c>
      <c r="O459" t="s">
        <v>3149</v>
      </c>
    </row>
    <row r="460" spans="1:15" x14ac:dyDescent="0.3">
      <c r="A460" t="s">
        <v>1025</v>
      </c>
      <c r="B460">
        <v>5</v>
      </c>
      <c r="C460" s="1">
        <v>45184</v>
      </c>
      <c r="D460" t="s">
        <v>1026</v>
      </c>
      <c r="E460" t="s">
        <v>1027</v>
      </c>
      <c r="F460" t="s">
        <v>15</v>
      </c>
      <c r="G460" t="s">
        <v>79</v>
      </c>
      <c r="H460">
        <v>112</v>
      </c>
      <c r="I460">
        <v>2015</v>
      </c>
      <c r="J460" t="s">
        <v>1028</v>
      </c>
      <c r="K460">
        <v>198728</v>
      </c>
      <c r="L460" s="1">
        <v>42102</v>
      </c>
      <c r="M460" s="1" t="s">
        <v>3165</v>
      </c>
      <c r="N460" t="s">
        <v>1029</v>
      </c>
      <c r="O460" t="s">
        <v>3149</v>
      </c>
    </row>
    <row r="461" spans="1:15" x14ac:dyDescent="0.3">
      <c r="A461" t="s">
        <v>1030</v>
      </c>
      <c r="B461">
        <v>7</v>
      </c>
      <c r="C461" s="1">
        <v>44992</v>
      </c>
      <c r="D461" t="s">
        <v>1031</v>
      </c>
      <c r="E461" t="s">
        <v>1032</v>
      </c>
      <c r="F461" t="s">
        <v>15</v>
      </c>
      <c r="G461" t="s">
        <v>143</v>
      </c>
      <c r="H461">
        <v>100</v>
      </c>
      <c r="I461">
        <v>2011</v>
      </c>
      <c r="J461" t="s">
        <v>17</v>
      </c>
      <c r="K461">
        <v>247160</v>
      </c>
      <c r="L461" s="1">
        <v>40678</v>
      </c>
      <c r="M461" s="1" t="s">
        <v>3165</v>
      </c>
      <c r="N461" t="s">
        <v>1033</v>
      </c>
      <c r="O461" t="s">
        <v>3149</v>
      </c>
    </row>
    <row r="462" spans="1:15" x14ac:dyDescent="0.3">
      <c r="A462" t="s">
        <v>1037</v>
      </c>
      <c r="B462">
        <v>8</v>
      </c>
      <c r="C462" s="1">
        <v>43582</v>
      </c>
      <c r="D462" t="s">
        <v>1038</v>
      </c>
      <c r="E462" t="s">
        <v>1039</v>
      </c>
      <c r="F462" t="s">
        <v>15</v>
      </c>
      <c r="G462" t="s">
        <v>23</v>
      </c>
      <c r="H462">
        <v>112</v>
      </c>
      <c r="I462">
        <v>2011</v>
      </c>
      <c r="J462" t="s">
        <v>204</v>
      </c>
      <c r="K462">
        <v>911642</v>
      </c>
      <c r="L462" s="1">
        <v>40809</v>
      </c>
      <c r="M462" s="1" t="s">
        <v>3155</v>
      </c>
      <c r="N462" t="s">
        <v>1040</v>
      </c>
      <c r="O462" t="s">
        <v>3149</v>
      </c>
    </row>
    <row r="463" spans="1:15" x14ac:dyDescent="0.3">
      <c r="A463" t="s">
        <v>1041</v>
      </c>
      <c r="B463">
        <v>6</v>
      </c>
      <c r="C463" s="1">
        <v>45169</v>
      </c>
      <c r="D463" t="s">
        <v>1042</v>
      </c>
      <c r="E463" t="s">
        <v>1043</v>
      </c>
      <c r="F463" t="s">
        <v>47</v>
      </c>
      <c r="G463" t="s">
        <v>35</v>
      </c>
      <c r="H463">
        <v>12</v>
      </c>
      <c r="I463">
        <v>2018</v>
      </c>
      <c r="J463" t="s">
        <v>48</v>
      </c>
      <c r="K463">
        <v>11</v>
      </c>
      <c r="L463" s="1">
        <v>43231</v>
      </c>
      <c r="M463" s="1" t="s">
        <v>3154</v>
      </c>
      <c r="N463" t="s">
        <v>1044</v>
      </c>
      <c r="O463" t="s">
        <v>3175</v>
      </c>
    </row>
    <row r="464" spans="1:15" x14ac:dyDescent="0.3">
      <c r="A464" t="s">
        <v>1049</v>
      </c>
      <c r="B464">
        <v>7</v>
      </c>
      <c r="C464" s="1">
        <v>45200</v>
      </c>
      <c r="D464" t="s">
        <v>1050</v>
      </c>
      <c r="E464" t="s">
        <v>1051</v>
      </c>
      <c r="F464" t="s">
        <v>47</v>
      </c>
      <c r="G464" t="s">
        <v>148</v>
      </c>
      <c r="H464">
        <v>37</v>
      </c>
      <c r="I464">
        <v>2023</v>
      </c>
      <c r="J464" t="s">
        <v>1052</v>
      </c>
      <c r="K464">
        <v>51517</v>
      </c>
      <c r="L464" s="1">
        <v>45170</v>
      </c>
      <c r="M464" s="1" t="s">
        <v>3165</v>
      </c>
      <c r="N464" t="s">
        <v>298</v>
      </c>
      <c r="O464" t="s">
        <v>3149</v>
      </c>
    </row>
    <row r="465" spans="1:15" x14ac:dyDescent="0.3">
      <c r="A465" t="s">
        <v>1053</v>
      </c>
      <c r="B465">
        <v>5</v>
      </c>
      <c r="C465" s="1">
        <v>45262</v>
      </c>
      <c r="D465" t="s">
        <v>1054</v>
      </c>
      <c r="E465" t="s">
        <v>1055</v>
      </c>
      <c r="F465" t="s">
        <v>216</v>
      </c>
      <c r="G465" t="s">
        <v>67</v>
      </c>
      <c r="H465">
        <v>312</v>
      </c>
      <c r="I465">
        <v>2022</v>
      </c>
      <c r="J465" t="s">
        <v>123</v>
      </c>
      <c r="K465">
        <v>5578</v>
      </c>
      <c r="L465" s="1">
        <v>44813</v>
      </c>
      <c r="M465" s="1" t="s">
        <v>3188</v>
      </c>
      <c r="N465" t="s">
        <v>972</v>
      </c>
      <c r="O465" t="s">
        <v>3149</v>
      </c>
    </row>
    <row r="466" spans="1:15" x14ac:dyDescent="0.3">
      <c r="A466" t="s">
        <v>1056</v>
      </c>
      <c r="B466">
        <v>7</v>
      </c>
      <c r="C466" s="1">
        <v>45216</v>
      </c>
      <c r="D466" t="s">
        <v>1057</v>
      </c>
      <c r="E466" t="s">
        <v>1058</v>
      </c>
      <c r="F466" t="s">
        <v>15</v>
      </c>
      <c r="G466" t="s">
        <v>61</v>
      </c>
      <c r="H466">
        <v>151</v>
      </c>
      <c r="I466">
        <v>2023</v>
      </c>
      <c r="J466" t="s">
        <v>123</v>
      </c>
      <c r="K466">
        <v>27693</v>
      </c>
      <c r="L466" s="1">
        <v>45067</v>
      </c>
      <c r="M466" s="1" t="s">
        <v>3155</v>
      </c>
      <c r="N466" t="s">
        <v>1059</v>
      </c>
      <c r="O466" t="s">
        <v>3175</v>
      </c>
    </row>
    <row r="467" spans="1:15" x14ac:dyDescent="0.3">
      <c r="A467" t="s">
        <v>1060</v>
      </c>
      <c r="B467">
        <v>6</v>
      </c>
      <c r="C467" s="1">
        <v>44847</v>
      </c>
      <c r="D467" t="s">
        <v>1061</v>
      </c>
      <c r="E467" t="s">
        <v>1062</v>
      </c>
      <c r="F467" t="s">
        <v>15</v>
      </c>
      <c r="G467" t="s">
        <v>79</v>
      </c>
      <c r="H467">
        <v>56</v>
      </c>
      <c r="I467">
        <v>2022</v>
      </c>
      <c r="J467" t="s">
        <v>96</v>
      </c>
      <c r="K467">
        <v>9</v>
      </c>
      <c r="L467" s="1">
        <v>44673</v>
      </c>
      <c r="M467" s="1" t="s">
        <v>3154</v>
      </c>
      <c r="N467" t="s">
        <v>1063</v>
      </c>
      <c r="O467" t="s">
        <v>3175</v>
      </c>
    </row>
    <row r="468" spans="1:15" x14ac:dyDescent="0.3">
      <c r="A468" t="s">
        <v>1064</v>
      </c>
      <c r="B468">
        <v>6</v>
      </c>
      <c r="C468" s="1">
        <v>44521</v>
      </c>
      <c r="D468" t="s">
        <v>1065</v>
      </c>
      <c r="E468" t="s">
        <v>1066</v>
      </c>
      <c r="F468" t="s">
        <v>15</v>
      </c>
      <c r="G468" t="s">
        <v>198</v>
      </c>
      <c r="H468">
        <v>126</v>
      </c>
      <c r="I468">
        <v>2013</v>
      </c>
      <c r="J468" t="s">
        <v>1067</v>
      </c>
      <c r="K468">
        <v>383407</v>
      </c>
      <c r="L468" s="1">
        <v>41484</v>
      </c>
      <c r="M468" s="1" t="s">
        <v>3197</v>
      </c>
      <c r="N468" t="s">
        <v>1068</v>
      </c>
      <c r="O468" t="s">
        <v>3149</v>
      </c>
    </row>
    <row r="469" spans="1:15" x14ac:dyDescent="0.3">
      <c r="A469" t="s">
        <v>1069</v>
      </c>
      <c r="B469">
        <v>7</v>
      </c>
      <c r="C469" s="1">
        <v>44915</v>
      </c>
      <c r="D469" t="s">
        <v>1070</v>
      </c>
      <c r="E469" t="s">
        <v>1071</v>
      </c>
      <c r="F469" t="s">
        <v>15</v>
      </c>
      <c r="G469" t="s">
        <v>35</v>
      </c>
      <c r="H469">
        <v>108</v>
      </c>
      <c r="I469">
        <v>2022</v>
      </c>
      <c r="J469" t="s">
        <v>1072</v>
      </c>
      <c r="K469">
        <v>36094</v>
      </c>
      <c r="L469" s="1">
        <v>44812</v>
      </c>
      <c r="M469" s="1" t="s">
        <v>3165</v>
      </c>
      <c r="N469" t="s">
        <v>1073</v>
      </c>
      <c r="O469" t="s">
        <v>3149</v>
      </c>
    </row>
    <row r="470" spans="1:15" x14ac:dyDescent="0.3">
      <c r="A470" t="s">
        <v>1078</v>
      </c>
      <c r="B470">
        <v>7</v>
      </c>
      <c r="C470" s="1">
        <v>44877</v>
      </c>
      <c r="D470" t="s">
        <v>1079</v>
      </c>
      <c r="E470" t="s">
        <v>1080</v>
      </c>
      <c r="F470" t="s">
        <v>15</v>
      </c>
      <c r="G470" t="s">
        <v>79</v>
      </c>
      <c r="H470">
        <v>123</v>
      </c>
      <c r="I470">
        <v>2013</v>
      </c>
      <c r="J470" t="s">
        <v>1081</v>
      </c>
      <c r="K470">
        <v>106632</v>
      </c>
      <c r="L470" s="1">
        <v>41419</v>
      </c>
      <c r="M470" s="1" t="s">
        <v>3171</v>
      </c>
      <c r="N470" t="s">
        <v>1082</v>
      </c>
      <c r="O470" t="s">
        <v>3149</v>
      </c>
    </row>
    <row r="471" spans="1:15" x14ac:dyDescent="0.3">
      <c r="A471" t="s">
        <v>1087</v>
      </c>
      <c r="B471">
        <v>8</v>
      </c>
      <c r="C471" s="1">
        <v>43691</v>
      </c>
      <c r="D471" t="s">
        <v>1088</v>
      </c>
      <c r="E471" t="s">
        <v>1089</v>
      </c>
      <c r="F471" t="s">
        <v>15</v>
      </c>
      <c r="G471" t="s">
        <v>143</v>
      </c>
      <c r="H471">
        <v>134</v>
      </c>
      <c r="I471">
        <v>2018</v>
      </c>
      <c r="J471" t="s">
        <v>74</v>
      </c>
      <c r="K471">
        <v>577978</v>
      </c>
      <c r="L471" s="1">
        <v>43396</v>
      </c>
      <c r="M471" s="1" t="s">
        <v>3165</v>
      </c>
      <c r="N471" t="s">
        <v>1090</v>
      </c>
      <c r="O471" t="s">
        <v>3149</v>
      </c>
    </row>
    <row r="472" spans="1:15" x14ac:dyDescent="0.3">
      <c r="A472" t="s">
        <v>1091</v>
      </c>
      <c r="B472">
        <v>6</v>
      </c>
      <c r="C472" s="1">
        <v>45282</v>
      </c>
      <c r="D472" t="s">
        <v>1092</v>
      </c>
      <c r="E472" t="s">
        <v>1093</v>
      </c>
      <c r="F472" t="s">
        <v>15</v>
      </c>
      <c r="G472" t="s">
        <v>79</v>
      </c>
      <c r="H472">
        <v>131</v>
      </c>
      <c r="I472">
        <v>2023</v>
      </c>
      <c r="J472" t="s">
        <v>1094</v>
      </c>
      <c r="K472">
        <v>58372</v>
      </c>
      <c r="L472" s="1">
        <v>45169</v>
      </c>
      <c r="M472" s="1" t="s">
        <v>3165</v>
      </c>
      <c r="N472" t="s">
        <v>1095</v>
      </c>
      <c r="O472" t="s">
        <v>3149</v>
      </c>
    </row>
    <row r="473" spans="1:15" x14ac:dyDescent="0.3">
      <c r="A473" t="s">
        <v>1096</v>
      </c>
      <c r="B473">
        <v>6</v>
      </c>
      <c r="C473" s="1">
        <v>44434</v>
      </c>
      <c r="D473" t="s">
        <v>1097</v>
      </c>
      <c r="E473" t="s">
        <v>1098</v>
      </c>
      <c r="F473" t="s">
        <v>15</v>
      </c>
      <c r="G473" t="s">
        <v>95</v>
      </c>
      <c r="H473">
        <v>126</v>
      </c>
      <c r="I473">
        <v>2014</v>
      </c>
      <c r="J473" t="s">
        <v>325</v>
      </c>
      <c r="K473">
        <v>11846</v>
      </c>
      <c r="L473" s="1">
        <v>41780</v>
      </c>
      <c r="M473" s="1" t="s">
        <v>3154</v>
      </c>
      <c r="N473" t="s">
        <v>1099</v>
      </c>
      <c r="O473" t="s">
        <v>3149</v>
      </c>
    </row>
    <row r="474" spans="1:15" x14ac:dyDescent="0.3">
      <c r="A474" t="s">
        <v>1100</v>
      </c>
      <c r="B474">
        <v>8</v>
      </c>
      <c r="C474" s="1">
        <v>44146</v>
      </c>
      <c r="D474" t="s">
        <v>1101</v>
      </c>
      <c r="E474" t="s">
        <v>1102</v>
      </c>
      <c r="F474" t="s">
        <v>15</v>
      </c>
      <c r="G474" t="s">
        <v>61</v>
      </c>
      <c r="H474">
        <v>94</v>
      </c>
      <c r="I474">
        <v>2012</v>
      </c>
      <c r="J474" t="s">
        <v>1103</v>
      </c>
      <c r="K474">
        <v>364051</v>
      </c>
      <c r="L474" s="1">
        <v>41045</v>
      </c>
      <c r="M474" s="1" t="s">
        <v>3165</v>
      </c>
      <c r="N474" t="s">
        <v>298</v>
      </c>
      <c r="O474" t="s">
        <v>3149</v>
      </c>
    </row>
    <row r="475" spans="1:15" x14ac:dyDescent="0.3">
      <c r="A475" t="s">
        <v>1104</v>
      </c>
      <c r="B475">
        <v>7</v>
      </c>
      <c r="C475" s="1">
        <v>45246</v>
      </c>
      <c r="D475" t="s">
        <v>1105</v>
      </c>
      <c r="E475" t="s">
        <v>1106</v>
      </c>
      <c r="F475" t="s">
        <v>15</v>
      </c>
      <c r="G475" t="s">
        <v>67</v>
      </c>
      <c r="H475">
        <v>91</v>
      </c>
      <c r="I475">
        <v>2023</v>
      </c>
      <c r="J475" t="s">
        <v>235</v>
      </c>
      <c r="K475">
        <v>26964</v>
      </c>
      <c r="L475" s="1">
        <v>44996</v>
      </c>
      <c r="M475" s="1" t="s">
        <v>3165</v>
      </c>
      <c r="N475" t="s">
        <v>375</v>
      </c>
      <c r="O475" t="s">
        <v>3175</v>
      </c>
    </row>
    <row r="476" spans="1:15" x14ac:dyDescent="0.3">
      <c r="A476" t="s">
        <v>1107</v>
      </c>
      <c r="B476">
        <v>7</v>
      </c>
      <c r="C476" s="1">
        <v>44863</v>
      </c>
      <c r="D476" t="s">
        <v>1108</v>
      </c>
      <c r="E476" t="s">
        <v>1109</v>
      </c>
      <c r="F476" t="s">
        <v>15</v>
      </c>
      <c r="G476" t="s">
        <v>524</v>
      </c>
      <c r="H476">
        <v>148</v>
      </c>
      <c r="I476">
        <v>2014</v>
      </c>
      <c r="J476" t="s">
        <v>292</v>
      </c>
      <c r="K476">
        <v>109514</v>
      </c>
      <c r="L476" s="1">
        <v>41916</v>
      </c>
      <c r="M476" s="1" t="s">
        <v>3165</v>
      </c>
      <c r="N476" t="s">
        <v>356</v>
      </c>
      <c r="O476" t="s">
        <v>3149</v>
      </c>
    </row>
    <row r="477" spans="1:15" x14ac:dyDescent="0.3">
      <c r="A477" t="s">
        <v>1110</v>
      </c>
      <c r="B477">
        <v>8</v>
      </c>
      <c r="C477" s="1">
        <v>44555</v>
      </c>
      <c r="D477" t="s">
        <v>1111</v>
      </c>
      <c r="E477" t="s">
        <v>1112</v>
      </c>
      <c r="F477" t="s">
        <v>15</v>
      </c>
      <c r="G477" t="s">
        <v>29</v>
      </c>
      <c r="H477">
        <v>126</v>
      </c>
      <c r="I477">
        <v>2013</v>
      </c>
      <c r="J477" t="s">
        <v>1113</v>
      </c>
      <c r="K477">
        <v>657042</v>
      </c>
      <c r="L477" s="1">
        <v>41559</v>
      </c>
      <c r="M477" s="1" t="s">
        <v>3165</v>
      </c>
      <c r="N477" t="s">
        <v>1114</v>
      </c>
      <c r="O477" t="s">
        <v>3149</v>
      </c>
    </row>
    <row r="478" spans="1:15" x14ac:dyDescent="0.3">
      <c r="A478" t="s">
        <v>1115</v>
      </c>
      <c r="B478">
        <v>7</v>
      </c>
      <c r="C478" s="1">
        <v>44515</v>
      </c>
      <c r="D478" t="s">
        <v>1116</v>
      </c>
      <c r="E478" t="s">
        <v>1117</v>
      </c>
      <c r="F478" t="s">
        <v>15</v>
      </c>
      <c r="G478" t="s">
        <v>79</v>
      </c>
      <c r="H478">
        <v>138</v>
      </c>
      <c r="I478">
        <v>2013</v>
      </c>
      <c r="J478" t="s">
        <v>325</v>
      </c>
      <c r="K478">
        <v>496608</v>
      </c>
      <c r="L478" s="1">
        <v>41611</v>
      </c>
      <c r="M478" s="1" t="s">
        <v>3165</v>
      </c>
      <c r="N478" t="s">
        <v>134</v>
      </c>
      <c r="O478" t="s">
        <v>3149</v>
      </c>
    </row>
    <row r="479" spans="1:15" x14ac:dyDescent="0.3">
      <c r="A479" t="s">
        <v>1125</v>
      </c>
      <c r="B479">
        <v>8</v>
      </c>
      <c r="C479" s="1">
        <v>44952</v>
      </c>
      <c r="D479" t="s">
        <v>1126</v>
      </c>
      <c r="E479" t="s">
        <v>1127</v>
      </c>
      <c r="F479" t="s">
        <v>15</v>
      </c>
      <c r="G479" t="s">
        <v>41</v>
      </c>
      <c r="H479">
        <v>89</v>
      </c>
      <c r="I479">
        <v>2010</v>
      </c>
      <c r="J479" t="s">
        <v>1128</v>
      </c>
      <c r="K479">
        <v>184</v>
      </c>
      <c r="L479" s="1">
        <v>40512</v>
      </c>
      <c r="M479" s="1" t="s">
        <v>3180</v>
      </c>
      <c r="N479" t="s">
        <v>1129</v>
      </c>
      <c r="O479" t="s">
        <v>3149</v>
      </c>
    </row>
    <row r="480" spans="1:15" x14ac:dyDescent="0.3">
      <c r="A480" t="s">
        <v>1130</v>
      </c>
      <c r="B480">
        <v>8</v>
      </c>
      <c r="C480" s="1">
        <v>43491</v>
      </c>
      <c r="D480" t="s">
        <v>1131</v>
      </c>
      <c r="E480" t="s">
        <v>1132</v>
      </c>
      <c r="F480" t="s">
        <v>15</v>
      </c>
      <c r="G480" t="s">
        <v>158</v>
      </c>
      <c r="H480">
        <v>109</v>
      </c>
      <c r="I480">
        <v>2011</v>
      </c>
      <c r="J480" t="s">
        <v>1133</v>
      </c>
      <c r="K480">
        <v>1520</v>
      </c>
      <c r="L480" s="1">
        <v>40590</v>
      </c>
      <c r="M480" s="1" t="s">
        <v>3180</v>
      </c>
      <c r="N480" t="s">
        <v>1134</v>
      </c>
      <c r="O480" t="s">
        <v>3149</v>
      </c>
    </row>
    <row r="481" spans="1:15" x14ac:dyDescent="0.3">
      <c r="A481" t="s">
        <v>1135</v>
      </c>
      <c r="B481">
        <v>8</v>
      </c>
      <c r="C481" s="1">
        <v>44503</v>
      </c>
      <c r="D481" t="s">
        <v>1136</v>
      </c>
      <c r="E481" t="s">
        <v>1137</v>
      </c>
      <c r="F481" t="s">
        <v>47</v>
      </c>
      <c r="G481" t="s">
        <v>56</v>
      </c>
      <c r="H481">
        <v>27</v>
      </c>
      <c r="I481">
        <v>2012</v>
      </c>
      <c r="J481" t="s">
        <v>456</v>
      </c>
      <c r="K481">
        <v>93</v>
      </c>
      <c r="L481" s="1">
        <v>40909</v>
      </c>
      <c r="M481" s="1" t="s">
        <v>3171</v>
      </c>
      <c r="N481" t="s">
        <v>1138</v>
      </c>
      <c r="O481" t="s">
        <v>3175</v>
      </c>
    </row>
    <row r="482" spans="1:15" x14ac:dyDescent="0.3">
      <c r="A482" t="s">
        <v>1142</v>
      </c>
      <c r="B482">
        <v>8</v>
      </c>
      <c r="C482" s="1">
        <v>43920</v>
      </c>
      <c r="D482" t="s">
        <v>1143</v>
      </c>
      <c r="E482" t="s">
        <v>1144</v>
      </c>
      <c r="F482" t="s">
        <v>15</v>
      </c>
      <c r="G482" t="s">
        <v>23</v>
      </c>
      <c r="H482">
        <v>165</v>
      </c>
      <c r="I482">
        <v>2012</v>
      </c>
      <c r="J482" t="s">
        <v>128</v>
      </c>
      <c r="K482">
        <v>1661064</v>
      </c>
      <c r="L482" s="1">
        <v>41254</v>
      </c>
      <c r="M482" s="1" t="s">
        <v>3165</v>
      </c>
      <c r="N482" t="s">
        <v>189</v>
      </c>
      <c r="O482" t="s">
        <v>3149</v>
      </c>
    </row>
    <row r="483" spans="1:15" x14ac:dyDescent="0.3">
      <c r="A483" t="s">
        <v>1150</v>
      </c>
      <c r="B483">
        <v>7</v>
      </c>
      <c r="C483" s="1">
        <v>45171</v>
      </c>
      <c r="D483" t="s">
        <v>1151</v>
      </c>
      <c r="E483" t="s">
        <v>1152</v>
      </c>
      <c r="F483" t="s">
        <v>15</v>
      </c>
      <c r="G483" t="s">
        <v>198</v>
      </c>
      <c r="H483">
        <v>97</v>
      </c>
      <c r="I483">
        <v>2022</v>
      </c>
      <c r="J483" t="s">
        <v>1153</v>
      </c>
      <c r="K483">
        <v>11963</v>
      </c>
      <c r="L483" s="1">
        <v>44703</v>
      </c>
      <c r="M483" s="1" t="s">
        <v>3177</v>
      </c>
      <c r="N483" t="s">
        <v>1154</v>
      </c>
      <c r="O483" t="s">
        <v>3149</v>
      </c>
    </row>
    <row r="484" spans="1:15" x14ac:dyDescent="0.3">
      <c r="A484" t="s">
        <v>1155</v>
      </c>
      <c r="B484">
        <v>8</v>
      </c>
      <c r="C484" s="1">
        <v>45289</v>
      </c>
      <c r="D484" t="s">
        <v>1156</v>
      </c>
      <c r="E484" t="s">
        <v>1157</v>
      </c>
      <c r="F484" t="s">
        <v>22</v>
      </c>
      <c r="G484" t="s">
        <v>927</v>
      </c>
      <c r="H484">
        <v>270</v>
      </c>
      <c r="I484">
        <v>2013</v>
      </c>
      <c r="J484" t="s">
        <v>1158</v>
      </c>
      <c r="K484">
        <v>32068</v>
      </c>
      <c r="L484" s="1">
        <v>41334</v>
      </c>
      <c r="M484" s="1" t="s">
        <v>3180</v>
      </c>
      <c r="N484" t="s">
        <v>3181</v>
      </c>
      <c r="O484" t="s">
        <v>3149</v>
      </c>
    </row>
    <row r="485" spans="1:15" x14ac:dyDescent="0.3">
      <c r="A485" t="s">
        <v>1159</v>
      </c>
      <c r="B485">
        <v>8</v>
      </c>
      <c r="C485" s="1">
        <v>44943</v>
      </c>
      <c r="D485" t="s">
        <v>1160</v>
      </c>
      <c r="E485" t="s">
        <v>1161</v>
      </c>
      <c r="F485" t="s">
        <v>15</v>
      </c>
      <c r="G485" t="s">
        <v>95</v>
      </c>
      <c r="H485">
        <v>103</v>
      </c>
      <c r="I485">
        <v>2022</v>
      </c>
      <c r="J485" t="s">
        <v>1162</v>
      </c>
      <c r="K485">
        <v>84969</v>
      </c>
      <c r="L485" s="1">
        <v>44807</v>
      </c>
      <c r="M485" s="1" t="s">
        <v>3165</v>
      </c>
      <c r="N485" t="s">
        <v>739</v>
      </c>
      <c r="O485" t="s">
        <v>3149</v>
      </c>
    </row>
    <row r="486" spans="1:15" x14ac:dyDescent="0.3">
      <c r="A486" t="s">
        <v>1163</v>
      </c>
      <c r="B486">
        <v>6</v>
      </c>
      <c r="C486" s="1">
        <v>45160</v>
      </c>
      <c r="D486" t="s">
        <v>1164</v>
      </c>
      <c r="E486" t="s">
        <v>1165</v>
      </c>
      <c r="F486" t="s">
        <v>47</v>
      </c>
      <c r="G486" t="s">
        <v>25</v>
      </c>
      <c r="H486">
        <v>11</v>
      </c>
      <c r="I486">
        <v>2016</v>
      </c>
      <c r="J486" t="s">
        <v>48</v>
      </c>
      <c r="L486" s="1">
        <v>42460</v>
      </c>
      <c r="M486" s="1" t="s">
        <v>3154</v>
      </c>
      <c r="N486" t="s">
        <v>1166</v>
      </c>
    </row>
    <row r="487" spans="1:15" x14ac:dyDescent="0.3">
      <c r="A487" t="s">
        <v>1167</v>
      </c>
      <c r="B487">
        <v>4</v>
      </c>
      <c r="C487" s="1">
        <v>44402</v>
      </c>
      <c r="D487" t="s">
        <v>1168</v>
      </c>
      <c r="E487" t="s">
        <v>1169</v>
      </c>
      <c r="F487" t="s">
        <v>15</v>
      </c>
      <c r="G487" t="s">
        <v>1170</v>
      </c>
      <c r="H487">
        <v>94</v>
      </c>
      <c r="I487">
        <v>2012</v>
      </c>
      <c r="J487" t="s">
        <v>1171</v>
      </c>
      <c r="K487">
        <v>10398</v>
      </c>
      <c r="L487" s="1">
        <v>40929</v>
      </c>
      <c r="M487" s="1" t="s">
        <v>3155</v>
      </c>
      <c r="N487" t="s">
        <v>1172</v>
      </c>
      <c r="O487" t="s">
        <v>3149</v>
      </c>
    </row>
    <row r="488" spans="1:15" x14ac:dyDescent="0.3">
      <c r="A488" t="s">
        <v>1173</v>
      </c>
      <c r="B488">
        <v>5</v>
      </c>
      <c r="C488" s="1">
        <v>43571</v>
      </c>
      <c r="D488" t="s">
        <v>1174</v>
      </c>
      <c r="E488" t="s">
        <v>1175</v>
      </c>
      <c r="F488" t="s">
        <v>15</v>
      </c>
      <c r="G488" t="s">
        <v>461</v>
      </c>
      <c r="H488">
        <v>105</v>
      </c>
      <c r="I488">
        <v>2014</v>
      </c>
      <c r="J488" t="s">
        <v>1176</v>
      </c>
      <c r="K488">
        <v>115573</v>
      </c>
      <c r="L488" s="1">
        <v>41688</v>
      </c>
      <c r="M488" s="1" t="s">
        <v>3165</v>
      </c>
      <c r="N488" t="s">
        <v>1177</v>
      </c>
      <c r="O488" t="s">
        <v>3149</v>
      </c>
    </row>
    <row r="489" spans="1:15" x14ac:dyDescent="0.3">
      <c r="A489" t="s">
        <v>1178</v>
      </c>
      <c r="B489">
        <v>3</v>
      </c>
      <c r="C489" s="1">
        <v>45159</v>
      </c>
      <c r="D489" t="s">
        <v>1179</v>
      </c>
      <c r="E489" t="s">
        <v>1180</v>
      </c>
      <c r="F489" t="s">
        <v>15</v>
      </c>
      <c r="G489" t="s">
        <v>35</v>
      </c>
      <c r="H489">
        <v>110</v>
      </c>
      <c r="I489">
        <v>2011</v>
      </c>
      <c r="J489" t="s">
        <v>1181</v>
      </c>
      <c r="K489">
        <v>1509</v>
      </c>
      <c r="L489" s="1">
        <v>40807</v>
      </c>
      <c r="M489" s="1" t="s">
        <v>3154</v>
      </c>
      <c r="N489" t="s">
        <v>1182</v>
      </c>
      <c r="O489" t="s">
        <v>3149</v>
      </c>
    </row>
    <row r="490" spans="1:15" x14ac:dyDescent="0.3">
      <c r="A490" t="s">
        <v>1183</v>
      </c>
      <c r="B490">
        <v>6</v>
      </c>
      <c r="C490" s="1">
        <v>43821</v>
      </c>
      <c r="D490" t="s">
        <v>1184</v>
      </c>
      <c r="E490" t="s">
        <v>1185</v>
      </c>
      <c r="F490" t="s">
        <v>15</v>
      </c>
      <c r="G490" t="s">
        <v>931</v>
      </c>
      <c r="H490">
        <v>87</v>
      </c>
      <c r="I490">
        <v>2017</v>
      </c>
      <c r="J490" t="s">
        <v>421</v>
      </c>
      <c r="K490">
        <v>15300</v>
      </c>
      <c r="L490" s="1">
        <v>42915</v>
      </c>
      <c r="M490" s="1" t="s">
        <v>3165</v>
      </c>
      <c r="N490" t="s">
        <v>1186</v>
      </c>
      <c r="O490" t="s">
        <v>3149</v>
      </c>
    </row>
    <row r="491" spans="1:15" x14ac:dyDescent="0.3">
      <c r="A491" t="s">
        <v>1187</v>
      </c>
      <c r="B491">
        <v>8</v>
      </c>
      <c r="C491" s="1">
        <v>44325</v>
      </c>
      <c r="D491" t="s">
        <v>1188</v>
      </c>
      <c r="E491" t="s">
        <v>1189</v>
      </c>
      <c r="F491" t="s">
        <v>15</v>
      </c>
      <c r="G491" t="s">
        <v>35</v>
      </c>
      <c r="H491">
        <v>117</v>
      </c>
      <c r="I491">
        <v>2013</v>
      </c>
      <c r="J491" t="s">
        <v>24</v>
      </c>
      <c r="K491">
        <v>130030</v>
      </c>
      <c r="L491" s="1">
        <v>41633</v>
      </c>
      <c r="M491" s="1" t="s">
        <v>3188</v>
      </c>
      <c r="N491" t="s">
        <v>914</v>
      </c>
      <c r="O491" t="s">
        <v>3149</v>
      </c>
    </row>
    <row r="492" spans="1:15" x14ac:dyDescent="0.3">
      <c r="A492" t="s">
        <v>1190</v>
      </c>
      <c r="B492">
        <v>7</v>
      </c>
      <c r="C492" s="1">
        <v>45290</v>
      </c>
      <c r="D492" t="s">
        <v>1191</v>
      </c>
      <c r="E492" t="s">
        <v>1192</v>
      </c>
      <c r="F492" t="s">
        <v>15</v>
      </c>
      <c r="G492" t="s">
        <v>16</v>
      </c>
      <c r="H492">
        <v>86</v>
      </c>
      <c r="I492">
        <v>2012</v>
      </c>
      <c r="J492" t="s">
        <v>261</v>
      </c>
      <c r="K492">
        <v>17346</v>
      </c>
      <c r="L492" s="1">
        <v>41093</v>
      </c>
      <c r="M492" s="1" t="s">
        <v>3180</v>
      </c>
      <c r="N492" t="s">
        <v>1193</v>
      </c>
      <c r="O492" t="s">
        <v>3149</v>
      </c>
    </row>
    <row r="493" spans="1:15" x14ac:dyDescent="0.3">
      <c r="A493" t="s">
        <v>1206</v>
      </c>
      <c r="B493">
        <v>9</v>
      </c>
      <c r="C493" s="1">
        <v>44630</v>
      </c>
      <c r="D493" t="s">
        <v>1207</v>
      </c>
      <c r="E493" t="s">
        <v>1208</v>
      </c>
      <c r="F493" t="s">
        <v>15</v>
      </c>
      <c r="G493" t="s">
        <v>105</v>
      </c>
      <c r="H493">
        <v>117</v>
      </c>
      <c r="I493">
        <v>2016</v>
      </c>
      <c r="J493" t="s">
        <v>421</v>
      </c>
      <c r="K493">
        <v>102603</v>
      </c>
      <c r="L493" s="1">
        <v>42510</v>
      </c>
      <c r="M493" s="1" t="s">
        <v>3188</v>
      </c>
      <c r="N493" t="s">
        <v>972</v>
      </c>
      <c r="O493" t="s">
        <v>3149</v>
      </c>
    </row>
    <row r="494" spans="1:15" x14ac:dyDescent="0.3">
      <c r="A494" t="s">
        <v>1213</v>
      </c>
      <c r="B494">
        <v>8</v>
      </c>
      <c r="C494" s="1">
        <v>44927</v>
      </c>
      <c r="D494" t="s">
        <v>1214</v>
      </c>
      <c r="E494" t="s">
        <v>1215</v>
      </c>
      <c r="F494" t="s">
        <v>15</v>
      </c>
      <c r="G494" t="s">
        <v>84</v>
      </c>
      <c r="H494">
        <v>102</v>
      </c>
      <c r="I494">
        <v>2022</v>
      </c>
      <c r="J494" t="s">
        <v>24</v>
      </c>
      <c r="K494">
        <v>82131</v>
      </c>
      <c r="L494" s="1">
        <v>44702</v>
      </c>
      <c r="M494" s="1" t="s">
        <v>3171</v>
      </c>
      <c r="N494" t="s">
        <v>1216</v>
      </c>
      <c r="O494" t="s">
        <v>3175</v>
      </c>
    </row>
    <row r="495" spans="1:15" x14ac:dyDescent="0.3">
      <c r="A495" t="s">
        <v>1217</v>
      </c>
      <c r="B495">
        <v>8</v>
      </c>
      <c r="C495" s="1">
        <v>45034</v>
      </c>
      <c r="D495" t="s">
        <v>1218</v>
      </c>
      <c r="E495" t="s">
        <v>1219</v>
      </c>
      <c r="F495" t="s">
        <v>15</v>
      </c>
      <c r="G495" t="s">
        <v>29</v>
      </c>
      <c r="H495">
        <v>105</v>
      </c>
      <c r="I495">
        <v>2022</v>
      </c>
      <c r="J495" t="s">
        <v>235</v>
      </c>
      <c r="K495">
        <v>3281</v>
      </c>
      <c r="L495" s="1">
        <v>44810</v>
      </c>
      <c r="M495" s="1" t="s">
        <v>3154</v>
      </c>
      <c r="N495" t="s">
        <v>1220</v>
      </c>
      <c r="O495" t="s">
        <v>3149</v>
      </c>
    </row>
    <row r="496" spans="1:15" x14ac:dyDescent="0.3">
      <c r="A496" t="s">
        <v>1221</v>
      </c>
      <c r="B496">
        <v>7</v>
      </c>
      <c r="C496" s="1">
        <v>44807</v>
      </c>
      <c r="D496" t="s">
        <v>1222</v>
      </c>
      <c r="E496" t="s">
        <v>1223</v>
      </c>
      <c r="F496" t="s">
        <v>551</v>
      </c>
      <c r="G496" t="s">
        <v>41</v>
      </c>
      <c r="H496">
        <v>64</v>
      </c>
      <c r="I496">
        <v>2022</v>
      </c>
      <c r="J496" t="s">
        <v>235</v>
      </c>
      <c r="K496">
        <v>22242</v>
      </c>
      <c r="L496" s="1">
        <v>44705</v>
      </c>
      <c r="M496" s="1" t="s">
        <v>3171</v>
      </c>
      <c r="N496" t="s">
        <v>1224</v>
      </c>
      <c r="O496" t="s">
        <v>3149</v>
      </c>
    </row>
    <row r="497" spans="1:15" x14ac:dyDescent="0.3">
      <c r="A497" t="s">
        <v>1234</v>
      </c>
      <c r="B497">
        <v>6</v>
      </c>
      <c r="C497" s="1">
        <v>44436</v>
      </c>
      <c r="D497" t="s">
        <v>1235</v>
      </c>
      <c r="E497" t="s">
        <v>1236</v>
      </c>
      <c r="F497" t="s">
        <v>15</v>
      </c>
      <c r="G497" t="s">
        <v>346</v>
      </c>
      <c r="H497">
        <v>125</v>
      </c>
      <c r="I497">
        <v>2015</v>
      </c>
      <c r="J497" t="s">
        <v>1237</v>
      </c>
      <c r="K497">
        <v>32246</v>
      </c>
      <c r="L497" s="1">
        <v>42253</v>
      </c>
      <c r="M497" s="1" t="s">
        <v>3194</v>
      </c>
      <c r="N497" t="s">
        <v>69</v>
      </c>
      <c r="O497" t="s">
        <v>3149</v>
      </c>
    </row>
    <row r="498" spans="1:15" x14ac:dyDescent="0.3">
      <c r="A498" t="s">
        <v>1238</v>
      </c>
      <c r="B498">
        <v>8</v>
      </c>
      <c r="C498" s="1">
        <v>43691</v>
      </c>
      <c r="D498" t="s">
        <v>1239</v>
      </c>
      <c r="E498" t="s">
        <v>1240</v>
      </c>
      <c r="F498" t="s">
        <v>15</v>
      </c>
      <c r="G498" t="s">
        <v>16</v>
      </c>
      <c r="H498">
        <v>121</v>
      </c>
      <c r="I498">
        <v>2019</v>
      </c>
      <c r="J498" t="s">
        <v>1241</v>
      </c>
      <c r="K498">
        <v>190429</v>
      </c>
      <c r="L498" s="1">
        <v>43601</v>
      </c>
      <c r="M498" s="1" t="s">
        <v>3171</v>
      </c>
      <c r="N498" t="s">
        <v>1242</v>
      </c>
      <c r="O498" t="s">
        <v>3149</v>
      </c>
    </row>
    <row r="499" spans="1:15" x14ac:dyDescent="0.3">
      <c r="A499" t="s">
        <v>1243</v>
      </c>
      <c r="B499">
        <v>8</v>
      </c>
      <c r="C499" s="1">
        <v>44910</v>
      </c>
      <c r="D499" t="s">
        <v>1244</v>
      </c>
      <c r="E499" t="s">
        <v>1245</v>
      </c>
      <c r="F499" t="s">
        <v>47</v>
      </c>
      <c r="G499" t="s">
        <v>284</v>
      </c>
      <c r="H499">
        <v>18</v>
      </c>
      <c r="I499">
        <v>2022</v>
      </c>
      <c r="J499" t="s">
        <v>48</v>
      </c>
      <c r="K499">
        <v>12</v>
      </c>
      <c r="L499" s="1">
        <v>44709</v>
      </c>
      <c r="M499" s="1" t="s">
        <v>3154</v>
      </c>
      <c r="N499" t="s">
        <v>1246</v>
      </c>
      <c r="O499" t="s">
        <v>3175</v>
      </c>
    </row>
    <row r="500" spans="1:15" x14ac:dyDescent="0.3">
      <c r="A500" t="s">
        <v>1247</v>
      </c>
      <c r="B500">
        <v>8</v>
      </c>
      <c r="C500" s="1">
        <v>43385</v>
      </c>
      <c r="D500" t="s">
        <v>1248</v>
      </c>
      <c r="E500" t="s">
        <v>1249</v>
      </c>
      <c r="F500" t="s">
        <v>15</v>
      </c>
      <c r="G500" t="s">
        <v>29</v>
      </c>
      <c r="H500">
        <v>114</v>
      </c>
      <c r="I500">
        <v>2014</v>
      </c>
      <c r="J500" t="s">
        <v>1250</v>
      </c>
      <c r="K500">
        <v>812685</v>
      </c>
      <c r="L500" s="1">
        <v>41880</v>
      </c>
      <c r="M500" s="1" t="s">
        <v>3165</v>
      </c>
      <c r="N500" t="s">
        <v>1251</v>
      </c>
      <c r="O500" t="s">
        <v>3149</v>
      </c>
    </row>
    <row r="501" spans="1:15" x14ac:dyDescent="0.3">
      <c r="A501" t="s">
        <v>1255</v>
      </c>
      <c r="B501">
        <v>7</v>
      </c>
      <c r="C501" s="1">
        <v>44496</v>
      </c>
      <c r="D501" t="s">
        <v>1256</v>
      </c>
      <c r="E501" t="s">
        <v>1257</v>
      </c>
      <c r="F501" t="s">
        <v>47</v>
      </c>
      <c r="G501" t="s">
        <v>524</v>
      </c>
      <c r="H501">
        <v>5</v>
      </c>
      <c r="I501">
        <v>1995</v>
      </c>
      <c r="J501" t="s">
        <v>90</v>
      </c>
      <c r="K501">
        <v>34</v>
      </c>
      <c r="L501" s="1">
        <v>34885</v>
      </c>
      <c r="M501" s="1" t="s">
        <v>3171</v>
      </c>
      <c r="N501" t="s">
        <v>1258</v>
      </c>
      <c r="O501" t="s">
        <v>3175</v>
      </c>
    </row>
    <row r="502" spans="1:15" x14ac:dyDescent="0.3">
      <c r="A502" t="s">
        <v>1259</v>
      </c>
      <c r="B502">
        <v>8</v>
      </c>
      <c r="C502" s="1">
        <v>44437</v>
      </c>
      <c r="D502" t="s">
        <v>1260</v>
      </c>
      <c r="E502" t="s">
        <v>1261</v>
      </c>
      <c r="F502" t="s">
        <v>551</v>
      </c>
      <c r="G502" t="s">
        <v>187</v>
      </c>
      <c r="H502">
        <v>63</v>
      </c>
      <c r="I502">
        <v>2011</v>
      </c>
      <c r="J502" t="s">
        <v>235</v>
      </c>
      <c r="K502">
        <v>10224</v>
      </c>
      <c r="L502" s="1">
        <v>40885</v>
      </c>
      <c r="M502" s="1" t="s">
        <v>3165</v>
      </c>
      <c r="N502" t="s">
        <v>552</v>
      </c>
      <c r="O502" t="s">
        <v>3149</v>
      </c>
    </row>
    <row r="503" spans="1:15" x14ac:dyDescent="0.3">
      <c r="A503" t="s">
        <v>1269</v>
      </c>
      <c r="B503">
        <v>6</v>
      </c>
      <c r="C503" s="1">
        <v>45250</v>
      </c>
      <c r="D503" t="s">
        <v>1270</v>
      </c>
      <c r="E503" t="s">
        <v>1271</v>
      </c>
      <c r="F503" t="s">
        <v>15</v>
      </c>
      <c r="G503" t="s">
        <v>95</v>
      </c>
      <c r="H503">
        <v>92</v>
      </c>
      <c r="I503">
        <v>2023</v>
      </c>
      <c r="J503" t="s">
        <v>235</v>
      </c>
      <c r="K503">
        <v>12964</v>
      </c>
      <c r="L503" s="1">
        <v>44947</v>
      </c>
      <c r="M503" s="1" t="s">
        <v>3165</v>
      </c>
      <c r="N503" t="s">
        <v>1272</v>
      </c>
    </row>
    <row r="504" spans="1:15" x14ac:dyDescent="0.3">
      <c r="A504" t="s">
        <v>1276</v>
      </c>
      <c r="B504">
        <v>6</v>
      </c>
      <c r="C504" s="1">
        <v>44882</v>
      </c>
      <c r="D504" t="s">
        <v>1277</v>
      </c>
      <c r="E504" t="s">
        <v>1278</v>
      </c>
      <c r="F504" t="s">
        <v>47</v>
      </c>
      <c r="G504" t="s">
        <v>346</v>
      </c>
      <c r="H504">
        <v>13</v>
      </c>
      <c r="I504">
        <v>1966</v>
      </c>
      <c r="J504" t="s">
        <v>456</v>
      </c>
      <c r="K504">
        <v>345</v>
      </c>
      <c r="L504" s="1">
        <v>24236</v>
      </c>
      <c r="M504" s="1" t="s">
        <v>3179</v>
      </c>
      <c r="N504" t="s">
        <v>1279</v>
      </c>
      <c r="O504" t="s">
        <v>3149</v>
      </c>
    </row>
    <row r="505" spans="1:15" x14ac:dyDescent="0.3">
      <c r="A505" t="s">
        <v>1283</v>
      </c>
      <c r="B505">
        <v>5</v>
      </c>
      <c r="C505" s="1">
        <v>44890</v>
      </c>
      <c r="D505" t="s">
        <v>1284</v>
      </c>
      <c r="E505" t="s">
        <v>1285</v>
      </c>
      <c r="F505" t="s">
        <v>708</v>
      </c>
      <c r="G505" t="s">
        <v>25</v>
      </c>
      <c r="H505">
        <v>5</v>
      </c>
      <c r="I505">
        <v>2022</v>
      </c>
      <c r="J505" t="s">
        <v>48</v>
      </c>
      <c r="L505" s="1">
        <v>44737</v>
      </c>
      <c r="M505" s="1" t="s">
        <v>3154</v>
      </c>
      <c r="N505" t="s">
        <v>785</v>
      </c>
      <c r="O505" t="s">
        <v>3175</v>
      </c>
    </row>
    <row r="506" spans="1:15" x14ac:dyDescent="0.3">
      <c r="A506" t="s">
        <v>1286</v>
      </c>
      <c r="B506">
        <v>6</v>
      </c>
      <c r="C506" s="1">
        <v>44883</v>
      </c>
      <c r="D506" t="s">
        <v>1287</v>
      </c>
      <c r="E506" t="s">
        <v>1288</v>
      </c>
      <c r="F506" t="s">
        <v>15</v>
      </c>
      <c r="G506" t="s">
        <v>61</v>
      </c>
      <c r="H506">
        <v>96</v>
      </c>
      <c r="I506">
        <v>2022</v>
      </c>
      <c r="J506" t="s">
        <v>96</v>
      </c>
      <c r="K506">
        <v>17090</v>
      </c>
      <c r="L506" s="1">
        <v>44879</v>
      </c>
      <c r="M506" s="1" t="s">
        <v>3165</v>
      </c>
      <c r="N506" t="s">
        <v>1289</v>
      </c>
      <c r="O506" t="s">
        <v>3149</v>
      </c>
    </row>
    <row r="507" spans="1:15" x14ac:dyDescent="0.3">
      <c r="A507" t="s">
        <v>1290</v>
      </c>
      <c r="B507">
        <v>8</v>
      </c>
      <c r="C507" s="1">
        <v>44846</v>
      </c>
      <c r="D507" t="s">
        <v>1291</v>
      </c>
      <c r="E507" t="s">
        <v>1292</v>
      </c>
      <c r="F507" t="s">
        <v>15</v>
      </c>
      <c r="G507" t="s">
        <v>25</v>
      </c>
      <c r="H507">
        <v>70</v>
      </c>
      <c r="I507">
        <v>2022</v>
      </c>
      <c r="J507" t="s">
        <v>96</v>
      </c>
      <c r="L507" s="1">
        <v>44839</v>
      </c>
      <c r="M507" s="1" t="s">
        <v>3154</v>
      </c>
      <c r="N507" t="s">
        <v>1293</v>
      </c>
    </row>
    <row r="508" spans="1:15" x14ac:dyDescent="0.3">
      <c r="A508" t="s">
        <v>1294</v>
      </c>
      <c r="B508">
        <v>7</v>
      </c>
      <c r="C508" s="1">
        <v>44838</v>
      </c>
      <c r="D508" t="s">
        <v>1295</v>
      </c>
      <c r="E508" t="s">
        <v>1296</v>
      </c>
      <c r="F508" t="s">
        <v>15</v>
      </c>
      <c r="G508" t="s">
        <v>369</v>
      </c>
      <c r="H508">
        <v>92</v>
      </c>
      <c r="I508">
        <v>2022</v>
      </c>
      <c r="J508" t="s">
        <v>96</v>
      </c>
      <c r="K508">
        <v>6</v>
      </c>
      <c r="L508" s="1">
        <v>44655</v>
      </c>
      <c r="M508" s="1" t="s">
        <v>3154</v>
      </c>
      <c r="N508" t="s">
        <v>1297</v>
      </c>
      <c r="O508" t="s">
        <v>3149</v>
      </c>
    </row>
    <row r="509" spans="1:15" x14ac:dyDescent="0.3">
      <c r="A509" t="s">
        <v>1298</v>
      </c>
      <c r="B509">
        <v>7</v>
      </c>
      <c r="C509" s="1">
        <v>45278</v>
      </c>
      <c r="D509" t="s">
        <v>1299</v>
      </c>
      <c r="E509" t="s">
        <v>1300</v>
      </c>
      <c r="F509" t="s">
        <v>15</v>
      </c>
      <c r="G509" t="s">
        <v>67</v>
      </c>
      <c r="H509">
        <v>113</v>
      </c>
      <c r="I509">
        <v>2023</v>
      </c>
      <c r="J509" t="s">
        <v>1301</v>
      </c>
      <c r="K509">
        <v>11703</v>
      </c>
      <c r="L509" s="1">
        <v>45173</v>
      </c>
      <c r="M509" s="1" t="s">
        <v>3165</v>
      </c>
      <c r="N509" t="s">
        <v>796</v>
      </c>
      <c r="O509" t="s">
        <v>3175</v>
      </c>
    </row>
    <row r="510" spans="1:15" x14ac:dyDescent="0.3">
      <c r="A510" t="s">
        <v>1302</v>
      </c>
      <c r="B510">
        <v>7</v>
      </c>
      <c r="C510" s="1">
        <v>45254</v>
      </c>
      <c r="D510" t="s">
        <v>1303</v>
      </c>
      <c r="E510" t="s">
        <v>1304</v>
      </c>
      <c r="F510" t="s">
        <v>47</v>
      </c>
      <c r="G510" t="s">
        <v>284</v>
      </c>
      <c r="H510">
        <v>20</v>
      </c>
      <c r="I510">
        <v>2022</v>
      </c>
      <c r="J510" t="s">
        <v>199</v>
      </c>
      <c r="K510">
        <v>25</v>
      </c>
      <c r="L510" s="1">
        <v>44853</v>
      </c>
      <c r="M510" s="1" t="s">
        <v>3154</v>
      </c>
      <c r="N510" t="s">
        <v>1305</v>
      </c>
      <c r="O510" t="s">
        <v>3149</v>
      </c>
    </row>
    <row r="511" spans="1:15" x14ac:dyDescent="0.3">
      <c r="A511" t="s">
        <v>1306</v>
      </c>
      <c r="B511">
        <v>7</v>
      </c>
      <c r="C511" s="1">
        <v>45259</v>
      </c>
      <c r="D511" t="s">
        <v>1307</v>
      </c>
      <c r="E511" t="s">
        <v>1308</v>
      </c>
      <c r="F511" t="s">
        <v>15</v>
      </c>
      <c r="G511" t="s">
        <v>25</v>
      </c>
      <c r="H511">
        <v>20</v>
      </c>
      <c r="I511">
        <v>2023</v>
      </c>
      <c r="J511" t="s">
        <v>96</v>
      </c>
      <c r="L511" s="1">
        <v>45047</v>
      </c>
      <c r="M511" s="1" t="s">
        <v>3154</v>
      </c>
      <c r="N511" t="s">
        <v>1309</v>
      </c>
      <c r="O511" t="s">
        <v>3175</v>
      </c>
    </row>
    <row r="512" spans="1:15" x14ac:dyDescent="0.3">
      <c r="A512" t="s">
        <v>1310</v>
      </c>
      <c r="B512">
        <v>7</v>
      </c>
      <c r="C512" s="1">
        <v>45027</v>
      </c>
      <c r="D512" t="s">
        <v>1311</v>
      </c>
      <c r="E512" t="s">
        <v>1312</v>
      </c>
      <c r="F512" t="s">
        <v>15</v>
      </c>
      <c r="G512" t="s">
        <v>143</v>
      </c>
      <c r="H512">
        <v>109</v>
      </c>
      <c r="I512">
        <v>2013</v>
      </c>
      <c r="J512" t="s">
        <v>42</v>
      </c>
      <c r="K512">
        <v>169600</v>
      </c>
      <c r="L512" s="1">
        <v>41294</v>
      </c>
      <c r="M512" s="1" t="s">
        <v>3165</v>
      </c>
      <c r="N512" t="s">
        <v>342</v>
      </c>
      <c r="O512" t="s">
        <v>3149</v>
      </c>
    </row>
    <row r="513" spans="1:15" x14ac:dyDescent="0.3">
      <c r="A513" t="s">
        <v>1317</v>
      </c>
      <c r="B513">
        <v>8</v>
      </c>
      <c r="C513" s="1">
        <v>44649</v>
      </c>
      <c r="D513" t="s">
        <v>1318</v>
      </c>
      <c r="E513" t="s">
        <v>1319</v>
      </c>
      <c r="F513" t="s">
        <v>216</v>
      </c>
      <c r="G513" t="s">
        <v>369</v>
      </c>
      <c r="H513">
        <v>1594</v>
      </c>
      <c r="I513">
        <v>2020</v>
      </c>
      <c r="J513" t="s">
        <v>1320</v>
      </c>
      <c r="K513">
        <v>52649</v>
      </c>
      <c r="L513" s="1">
        <v>43965</v>
      </c>
      <c r="M513" s="1" t="s">
        <v>3165</v>
      </c>
      <c r="N513" s="2" t="s">
        <v>3190</v>
      </c>
      <c r="O513" t="s">
        <v>3149</v>
      </c>
    </row>
    <row r="514" spans="1:15" x14ac:dyDescent="0.3">
      <c r="A514" t="s">
        <v>1321</v>
      </c>
      <c r="B514">
        <v>6</v>
      </c>
      <c r="C514" s="1">
        <v>45259</v>
      </c>
      <c r="D514" t="s">
        <v>1322</v>
      </c>
      <c r="E514" t="s">
        <v>1323</v>
      </c>
      <c r="F514" t="s">
        <v>47</v>
      </c>
      <c r="G514" t="s">
        <v>25</v>
      </c>
      <c r="H514">
        <v>11</v>
      </c>
      <c r="I514">
        <v>2022</v>
      </c>
      <c r="J514" t="s">
        <v>199</v>
      </c>
      <c r="L514" s="1">
        <v>44870</v>
      </c>
      <c r="M514" s="1" t="s">
        <v>3154</v>
      </c>
      <c r="N514" t="s">
        <v>1324</v>
      </c>
      <c r="O514" t="s">
        <v>3149</v>
      </c>
    </row>
    <row r="515" spans="1:15" x14ac:dyDescent="0.3">
      <c r="A515" t="s">
        <v>1329</v>
      </c>
      <c r="B515">
        <v>7</v>
      </c>
      <c r="C515" s="1">
        <v>44891</v>
      </c>
      <c r="D515" t="s">
        <v>1330</v>
      </c>
      <c r="E515" t="s">
        <v>1331</v>
      </c>
      <c r="F515" t="s">
        <v>15</v>
      </c>
      <c r="G515" t="s">
        <v>334</v>
      </c>
      <c r="H515">
        <v>149</v>
      </c>
      <c r="I515">
        <v>2014</v>
      </c>
      <c r="J515" t="s">
        <v>178</v>
      </c>
      <c r="K515">
        <v>1046533</v>
      </c>
      <c r="L515" s="1">
        <v>41908</v>
      </c>
      <c r="M515" s="1" t="s">
        <v>3165</v>
      </c>
      <c r="N515" t="s">
        <v>205</v>
      </c>
      <c r="O515" t="s">
        <v>3149</v>
      </c>
    </row>
    <row r="516" spans="1:15" x14ac:dyDescent="0.3">
      <c r="A516" t="s">
        <v>1332</v>
      </c>
      <c r="B516">
        <v>7</v>
      </c>
      <c r="C516" s="1">
        <v>45273</v>
      </c>
      <c r="D516" t="s">
        <v>1333</v>
      </c>
      <c r="E516" t="s">
        <v>1334</v>
      </c>
      <c r="F516" t="s">
        <v>15</v>
      </c>
      <c r="G516" t="s">
        <v>73</v>
      </c>
      <c r="H516">
        <v>103</v>
      </c>
      <c r="I516">
        <v>2023</v>
      </c>
      <c r="J516" t="s">
        <v>1335</v>
      </c>
      <c r="K516">
        <v>90346</v>
      </c>
      <c r="L516" s="1">
        <v>45182</v>
      </c>
      <c r="M516" s="1" t="s">
        <v>3165</v>
      </c>
      <c r="N516" t="s">
        <v>641</v>
      </c>
      <c r="O516" t="s">
        <v>3149</v>
      </c>
    </row>
    <row r="517" spans="1:15" x14ac:dyDescent="0.3">
      <c r="A517" t="s">
        <v>1336</v>
      </c>
      <c r="B517">
        <v>8</v>
      </c>
      <c r="C517" s="1">
        <v>43622</v>
      </c>
      <c r="D517" t="s">
        <v>1337</v>
      </c>
      <c r="E517" t="s">
        <v>1338</v>
      </c>
      <c r="F517" t="s">
        <v>15</v>
      </c>
      <c r="G517" t="s">
        <v>334</v>
      </c>
      <c r="H517">
        <v>99</v>
      </c>
      <c r="I517">
        <v>2014</v>
      </c>
      <c r="J517" t="s">
        <v>1339</v>
      </c>
      <c r="K517">
        <v>870773</v>
      </c>
      <c r="L517" s="1">
        <v>41676</v>
      </c>
      <c r="M517" s="1" t="s">
        <v>3165</v>
      </c>
      <c r="N517" t="s">
        <v>298</v>
      </c>
      <c r="O517" t="s">
        <v>3149</v>
      </c>
    </row>
    <row r="518" spans="1:15" x14ac:dyDescent="0.3">
      <c r="A518" t="s">
        <v>1340</v>
      </c>
      <c r="B518">
        <v>7</v>
      </c>
      <c r="C518" s="1">
        <v>44842</v>
      </c>
      <c r="D518" t="s">
        <v>1341</v>
      </c>
      <c r="E518" t="s">
        <v>1342</v>
      </c>
      <c r="F518" t="s">
        <v>15</v>
      </c>
      <c r="G518" t="s">
        <v>84</v>
      </c>
      <c r="H518">
        <v>180</v>
      </c>
      <c r="I518">
        <v>2013</v>
      </c>
      <c r="J518" t="s">
        <v>42</v>
      </c>
      <c r="K518">
        <v>160996</v>
      </c>
      <c r="L518" s="1">
        <v>41417</v>
      </c>
      <c r="M518" s="1" t="s">
        <v>3155</v>
      </c>
      <c r="N518" t="s">
        <v>1343</v>
      </c>
      <c r="O518" t="s">
        <v>3149</v>
      </c>
    </row>
    <row r="519" spans="1:15" x14ac:dyDescent="0.3">
      <c r="A519" t="s">
        <v>1344</v>
      </c>
      <c r="B519">
        <v>7</v>
      </c>
      <c r="C519" s="1">
        <v>43571</v>
      </c>
      <c r="D519" t="s">
        <v>1345</v>
      </c>
      <c r="E519" t="s">
        <v>1346</v>
      </c>
      <c r="F519" t="s">
        <v>15</v>
      </c>
      <c r="G519" t="s">
        <v>35</v>
      </c>
      <c r="H519">
        <v>119</v>
      </c>
      <c r="I519">
        <v>2017</v>
      </c>
      <c r="J519" t="s">
        <v>1347</v>
      </c>
      <c r="K519">
        <v>413869</v>
      </c>
      <c r="L519" s="1">
        <v>43074</v>
      </c>
      <c r="M519" s="1" t="s">
        <v>3165</v>
      </c>
      <c r="N519" t="s">
        <v>1348</v>
      </c>
      <c r="O519" t="s">
        <v>3149</v>
      </c>
    </row>
    <row r="520" spans="1:15" x14ac:dyDescent="0.3">
      <c r="A520" t="s">
        <v>1353</v>
      </c>
      <c r="B520">
        <v>6</v>
      </c>
      <c r="C520" s="1">
        <v>45097</v>
      </c>
      <c r="D520" t="s">
        <v>1354</v>
      </c>
      <c r="E520" t="s">
        <v>1355</v>
      </c>
      <c r="F520" t="s">
        <v>15</v>
      </c>
      <c r="G520" t="s">
        <v>35</v>
      </c>
      <c r="H520">
        <v>91</v>
      </c>
      <c r="I520">
        <v>2013</v>
      </c>
      <c r="J520" t="s">
        <v>178</v>
      </c>
      <c r="K520">
        <v>209705</v>
      </c>
      <c r="L520" s="1">
        <v>41525</v>
      </c>
      <c r="M520" s="1" t="s">
        <v>3169</v>
      </c>
      <c r="N520" t="s">
        <v>444</v>
      </c>
      <c r="O520" t="s">
        <v>3149</v>
      </c>
    </row>
    <row r="521" spans="1:15" x14ac:dyDescent="0.3">
      <c r="A521" t="s">
        <v>1356</v>
      </c>
      <c r="B521">
        <v>7</v>
      </c>
      <c r="C521" s="1">
        <v>45044</v>
      </c>
      <c r="D521" t="s">
        <v>1357</v>
      </c>
      <c r="E521" t="s">
        <v>1358</v>
      </c>
      <c r="F521" t="s">
        <v>15</v>
      </c>
      <c r="G521" t="s">
        <v>16</v>
      </c>
      <c r="H521">
        <v>98</v>
      </c>
      <c r="I521">
        <v>2013</v>
      </c>
      <c r="J521" t="s">
        <v>17</v>
      </c>
      <c r="K521">
        <v>210997</v>
      </c>
      <c r="L521" s="1">
        <v>41477</v>
      </c>
      <c r="M521" s="1" t="s">
        <v>3165</v>
      </c>
      <c r="N521" t="s">
        <v>977</v>
      </c>
      <c r="O521" t="s">
        <v>3149</v>
      </c>
    </row>
    <row r="522" spans="1:15" x14ac:dyDescent="0.3">
      <c r="A522" t="s">
        <v>1364</v>
      </c>
      <c r="B522">
        <v>8</v>
      </c>
      <c r="C522" s="1">
        <v>44812</v>
      </c>
      <c r="D522" t="s">
        <v>1365</v>
      </c>
      <c r="E522" t="s">
        <v>1366</v>
      </c>
      <c r="F522" t="s">
        <v>15</v>
      </c>
      <c r="G522" t="s">
        <v>148</v>
      </c>
      <c r="H522">
        <v>86</v>
      </c>
      <c r="I522">
        <v>2012</v>
      </c>
      <c r="J522" t="s">
        <v>17</v>
      </c>
      <c r="K522">
        <v>92129</v>
      </c>
      <c r="L522" s="1">
        <v>41153</v>
      </c>
      <c r="M522" s="1" t="s">
        <v>3165</v>
      </c>
      <c r="N522" t="s">
        <v>1367</v>
      </c>
      <c r="O522" t="s">
        <v>3149</v>
      </c>
    </row>
    <row r="523" spans="1:15" x14ac:dyDescent="0.3">
      <c r="A523" t="s">
        <v>1368</v>
      </c>
      <c r="B523">
        <v>6</v>
      </c>
      <c r="C523" s="1">
        <v>45172</v>
      </c>
      <c r="D523" t="s">
        <v>1369</v>
      </c>
      <c r="E523" t="s">
        <v>1370</v>
      </c>
      <c r="F523" t="s">
        <v>15</v>
      </c>
      <c r="G523" t="s">
        <v>84</v>
      </c>
      <c r="H523">
        <v>141</v>
      </c>
      <c r="I523">
        <v>2013</v>
      </c>
      <c r="J523" t="s">
        <v>24</v>
      </c>
      <c r="K523">
        <v>96308</v>
      </c>
      <c r="L523" s="1">
        <v>41415</v>
      </c>
      <c r="M523" s="1" t="s">
        <v>3194</v>
      </c>
      <c r="N523" t="s">
        <v>633</v>
      </c>
      <c r="O523" t="s">
        <v>3149</v>
      </c>
    </row>
    <row r="524" spans="1:15" x14ac:dyDescent="0.3">
      <c r="A524" t="s">
        <v>1375</v>
      </c>
      <c r="B524">
        <v>9</v>
      </c>
      <c r="C524" s="1">
        <v>45263</v>
      </c>
      <c r="D524" t="s">
        <v>1376</v>
      </c>
      <c r="E524" t="s">
        <v>1377</v>
      </c>
      <c r="F524" t="s">
        <v>15</v>
      </c>
      <c r="G524" t="s">
        <v>143</v>
      </c>
      <c r="H524">
        <v>96</v>
      </c>
      <c r="I524">
        <v>2013</v>
      </c>
      <c r="J524" t="s">
        <v>24</v>
      </c>
      <c r="K524">
        <v>91084</v>
      </c>
      <c r="L524" s="1">
        <v>41343</v>
      </c>
      <c r="M524" s="1" t="s">
        <v>3165</v>
      </c>
      <c r="N524" t="s">
        <v>1378</v>
      </c>
      <c r="O524" t="s">
        <v>3149</v>
      </c>
    </row>
    <row r="525" spans="1:15" x14ac:dyDescent="0.3">
      <c r="A525" t="s">
        <v>1379</v>
      </c>
      <c r="B525">
        <v>4</v>
      </c>
      <c r="C525" s="1">
        <v>45259</v>
      </c>
      <c r="D525" t="s">
        <v>1380</v>
      </c>
      <c r="E525" t="s">
        <v>1381</v>
      </c>
      <c r="F525" t="s">
        <v>47</v>
      </c>
      <c r="G525" t="s">
        <v>751</v>
      </c>
      <c r="H525">
        <v>12</v>
      </c>
      <c r="I525">
        <v>2022</v>
      </c>
      <c r="J525" t="s">
        <v>456</v>
      </c>
      <c r="K525">
        <v>10</v>
      </c>
      <c r="L525" s="1">
        <v>44876</v>
      </c>
      <c r="M525" s="1" t="s">
        <v>3154</v>
      </c>
      <c r="N525" t="s">
        <v>1382</v>
      </c>
      <c r="O525" t="s">
        <v>3149</v>
      </c>
    </row>
    <row r="526" spans="1:15" x14ac:dyDescent="0.3">
      <c r="A526" t="s">
        <v>1383</v>
      </c>
      <c r="B526">
        <v>6</v>
      </c>
      <c r="C526" s="1">
        <v>45030</v>
      </c>
      <c r="D526" t="s">
        <v>1384</v>
      </c>
      <c r="E526" t="s">
        <v>1385</v>
      </c>
      <c r="F526" t="s">
        <v>15</v>
      </c>
      <c r="G526" t="s">
        <v>56</v>
      </c>
      <c r="H526">
        <v>117</v>
      </c>
      <c r="I526">
        <v>2015</v>
      </c>
      <c r="J526" t="s">
        <v>42</v>
      </c>
      <c r="K526">
        <v>148579</v>
      </c>
      <c r="L526" s="1">
        <v>42030</v>
      </c>
      <c r="M526" s="1" t="s">
        <v>3165</v>
      </c>
      <c r="N526" t="s">
        <v>1386</v>
      </c>
      <c r="O526" t="s">
        <v>3149</v>
      </c>
    </row>
    <row r="527" spans="1:15" x14ac:dyDescent="0.3">
      <c r="A527" t="s">
        <v>1387</v>
      </c>
      <c r="B527">
        <v>7</v>
      </c>
      <c r="C527" s="1">
        <v>44401</v>
      </c>
      <c r="D527" t="s">
        <v>1388</v>
      </c>
      <c r="E527" t="s">
        <v>1389</v>
      </c>
      <c r="F527" t="s">
        <v>15</v>
      </c>
      <c r="G527" t="s">
        <v>524</v>
      </c>
      <c r="H527">
        <v>124</v>
      </c>
      <c r="I527">
        <v>2013</v>
      </c>
      <c r="J527" t="s">
        <v>24</v>
      </c>
      <c r="K527">
        <v>97085</v>
      </c>
      <c r="L527" s="1">
        <v>41633</v>
      </c>
      <c r="M527" s="1" t="s">
        <v>3188</v>
      </c>
      <c r="N527" t="s">
        <v>914</v>
      </c>
      <c r="O527" t="s">
        <v>3149</v>
      </c>
    </row>
    <row r="528" spans="1:15" x14ac:dyDescent="0.3">
      <c r="A528" t="s">
        <v>1390</v>
      </c>
      <c r="B528">
        <v>7</v>
      </c>
      <c r="C528" s="1">
        <v>44597</v>
      </c>
      <c r="D528" t="s">
        <v>1391</v>
      </c>
      <c r="E528" t="s">
        <v>1392</v>
      </c>
      <c r="F528" t="s">
        <v>15</v>
      </c>
      <c r="G528" t="s">
        <v>79</v>
      </c>
      <c r="H528">
        <v>132</v>
      </c>
      <c r="I528">
        <v>2019</v>
      </c>
      <c r="J528" t="s">
        <v>240</v>
      </c>
      <c r="K528">
        <v>20625</v>
      </c>
      <c r="L528" s="1">
        <v>43707</v>
      </c>
      <c r="M528" s="1" t="s">
        <v>3155</v>
      </c>
      <c r="N528" t="s">
        <v>1393</v>
      </c>
      <c r="O528" t="s">
        <v>3149</v>
      </c>
    </row>
    <row r="529" spans="1:15" x14ac:dyDescent="0.3">
      <c r="A529" t="s">
        <v>1394</v>
      </c>
      <c r="B529">
        <v>6</v>
      </c>
      <c r="C529" s="1">
        <v>44554</v>
      </c>
      <c r="D529" t="s">
        <v>1395</v>
      </c>
      <c r="E529" t="s">
        <v>1396</v>
      </c>
      <c r="F529" t="s">
        <v>15</v>
      </c>
      <c r="G529" t="s">
        <v>79</v>
      </c>
      <c r="H529">
        <v>90</v>
      </c>
      <c r="I529">
        <v>2015</v>
      </c>
      <c r="J529" t="s">
        <v>1397</v>
      </c>
      <c r="K529">
        <v>74665</v>
      </c>
      <c r="L529" s="1">
        <v>42251</v>
      </c>
      <c r="M529" s="1" t="s">
        <v>3165</v>
      </c>
      <c r="N529" t="s">
        <v>1398</v>
      </c>
      <c r="O529" t="s">
        <v>3149</v>
      </c>
    </row>
    <row r="530" spans="1:15" x14ac:dyDescent="0.3">
      <c r="A530" t="s">
        <v>1399</v>
      </c>
      <c r="B530">
        <v>7</v>
      </c>
      <c r="C530" s="1">
        <v>45181</v>
      </c>
      <c r="D530" t="s">
        <v>1400</v>
      </c>
      <c r="E530" t="s">
        <v>1401</v>
      </c>
      <c r="F530" t="s">
        <v>15</v>
      </c>
      <c r="G530" t="s">
        <v>79</v>
      </c>
      <c r="H530">
        <v>118</v>
      </c>
      <c r="I530">
        <v>2015</v>
      </c>
      <c r="J530" t="s">
        <v>42</v>
      </c>
      <c r="K530">
        <v>140051</v>
      </c>
      <c r="L530" s="1">
        <v>42141</v>
      </c>
      <c r="M530" s="1" t="s">
        <v>3165</v>
      </c>
      <c r="N530" t="s">
        <v>557</v>
      </c>
      <c r="O530" t="s">
        <v>3149</v>
      </c>
    </row>
    <row r="531" spans="1:15" x14ac:dyDescent="0.3">
      <c r="A531" t="s">
        <v>1402</v>
      </c>
      <c r="B531">
        <v>7</v>
      </c>
      <c r="C531" s="1">
        <v>45156</v>
      </c>
      <c r="D531" t="s">
        <v>1403</v>
      </c>
      <c r="E531" t="s">
        <v>1404</v>
      </c>
      <c r="F531" t="s">
        <v>15</v>
      </c>
      <c r="G531" t="s">
        <v>158</v>
      </c>
      <c r="H531">
        <v>83</v>
      </c>
      <c r="I531">
        <v>2023</v>
      </c>
      <c r="J531" t="s">
        <v>24</v>
      </c>
      <c r="K531">
        <v>15229</v>
      </c>
      <c r="L531" s="1">
        <v>44975</v>
      </c>
      <c r="M531" s="1" t="s">
        <v>3165</v>
      </c>
      <c r="N531" t="s">
        <v>1405</v>
      </c>
      <c r="O531" t="s">
        <v>3175</v>
      </c>
    </row>
    <row r="532" spans="1:15" x14ac:dyDescent="0.3">
      <c r="A532" t="s">
        <v>1406</v>
      </c>
      <c r="B532">
        <v>9</v>
      </c>
      <c r="C532" s="1">
        <v>45171</v>
      </c>
      <c r="D532" s="3" t="s">
        <v>1407</v>
      </c>
      <c r="E532" t="s">
        <v>1408</v>
      </c>
      <c r="F532" t="s">
        <v>15</v>
      </c>
      <c r="G532" t="s">
        <v>1409</v>
      </c>
      <c r="H532">
        <v>95</v>
      </c>
      <c r="I532">
        <v>2023</v>
      </c>
      <c r="J532" t="s">
        <v>1410</v>
      </c>
      <c r="K532">
        <v>2102</v>
      </c>
      <c r="L532" s="1">
        <v>44946</v>
      </c>
      <c r="M532" s="1" t="s">
        <v>3154</v>
      </c>
      <c r="N532" t="s">
        <v>1411</v>
      </c>
      <c r="O532" t="s">
        <v>3149</v>
      </c>
    </row>
    <row r="533" spans="1:15" x14ac:dyDescent="0.3">
      <c r="A533" t="s">
        <v>1425</v>
      </c>
      <c r="B533">
        <v>7</v>
      </c>
      <c r="C533" s="1">
        <v>45157</v>
      </c>
      <c r="D533" t="s">
        <v>1426</v>
      </c>
      <c r="E533" t="s">
        <v>1427</v>
      </c>
      <c r="F533" t="s">
        <v>15</v>
      </c>
      <c r="G533" t="s">
        <v>1170</v>
      </c>
      <c r="H533">
        <v>100</v>
      </c>
      <c r="I533">
        <v>2013</v>
      </c>
      <c r="J533" t="s">
        <v>24</v>
      </c>
      <c r="K533">
        <v>30820</v>
      </c>
      <c r="L533" s="1">
        <v>41515</v>
      </c>
      <c r="M533" s="1" t="s">
        <v>3165</v>
      </c>
      <c r="N533" t="s">
        <v>1428</v>
      </c>
      <c r="O533" t="s">
        <v>3175</v>
      </c>
    </row>
    <row r="534" spans="1:15" x14ac:dyDescent="0.3">
      <c r="A534" t="s">
        <v>1429</v>
      </c>
      <c r="B534">
        <v>7</v>
      </c>
      <c r="C534" s="1">
        <v>43821</v>
      </c>
      <c r="D534" t="s">
        <v>1430</v>
      </c>
      <c r="E534" t="s">
        <v>1431</v>
      </c>
      <c r="F534" t="s">
        <v>15</v>
      </c>
      <c r="G534" t="s">
        <v>158</v>
      </c>
      <c r="H534">
        <v>110</v>
      </c>
      <c r="I534">
        <v>2019</v>
      </c>
      <c r="J534" t="s">
        <v>1432</v>
      </c>
      <c r="K534">
        <v>100684</v>
      </c>
      <c r="L534" s="1">
        <v>43491</v>
      </c>
      <c r="M534" s="1" t="s">
        <v>3165</v>
      </c>
      <c r="N534" t="s">
        <v>1433</v>
      </c>
      <c r="O534" t="s">
        <v>3149</v>
      </c>
    </row>
    <row r="535" spans="1:15" x14ac:dyDescent="0.3">
      <c r="A535" t="s">
        <v>1438</v>
      </c>
      <c r="B535">
        <v>7</v>
      </c>
      <c r="C535" s="1">
        <v>44588</v>
      </c>
      <c r="D535" t="s">
        <v>1439</v>
      </c>
      <c r="E535" t="s">
        <v>1440</v>
      </c>
      <c r="F535" t="s">
        <v>15</v>
      </c>
      <c r="G535" t="s">
        <v>346</v>
      </c>
      <c r="H535">
        <v>77</v>
      </c>
      <c r="I535">
        <v>2013</v>
      </c>
      <c r="J535" t="s">
        <v>24</v>
      </c>
      <c r="K535">
        <v>1945</v>
      </c>
      <c r="L535" s="1">
        <v>41522</v>
      </c>
      <c r="M535" s="1" t="s">
        <v>3155</v>
      </c>
      <c r="N535" t="s">
        <v>1441</v>
      </c>
      <c r="O535" t="s">
        <v>3149</v>
      </c>
    </row>
    <row r="536" spans="1:15" x14ac:dyDescent="0.3">
      <c r="A536" t="s">
        <v>1446</v>
      </c>
      <c r="B536">
        <v>7</v>
      </c>
      <c r="C536" s="1">
        <v>44062</v>
      </c>
      <c r="D536" t="s">
        <v>1447</v>
      </c>
      <c r="E536" t="s">
        <v>1448</v>
      </c>
      <c r="F536" t="s">
        <v>15</v>
      </c>
      <c r="G536" t="s">
        <v>143</v>
      </c>
      <c r="H536">
        <v>113</v>
      </c>
      <c r="I536">
        <v>2017</v>
      </c>
      <c r="J536" t="s">
        <v>1449</v>
      </c>
      <c r="K536">
        <v>175361</v>
      </c>
      <c r="L536" s="1">
        <v>43053</v>
      </c>
      <c r="M536" s="1" t="s">
        <v>3165</v>
      </c>
      <c r="N536" t="s">
        <v>1450</v>
      </c>
      <c r="O536" t="s">
        <v>3149</v>
      </c>
    </row>
    <row r="537" spans="1:15" x14ac:dyDescent="0.3">
      <c r="A537" t="s">
        <v>1455</v>
      </c>
      <c r="B537">
        <v>7</v>
      </c>
      <c r="C537" s="1">
        <v>44792</v>
      </c>
      <c r="D537" t="s">
        <v>1456</v>
      </c>
      <c r="E537" t="s">
        <v>1457</v>
      </c>
      <c r="F537" t="s">
        <v>15</v>
      </c>
      <c r="G537" t="s">
        <v>84</v>
      </c>
      <c r="H537">
        <v>119</v>
      </c>
      <c r="I537">
        <v>2014</v>
      </c>
      <c r="J537" t="s">
        <v>261</v>
      </c>
      <c r="K537">
        <v>658416</v>
      </c>
      <c r="L537" s="1">
        <v>41878</v>
      </c>
      <c r="M537" s="1" t="s">
        <v>3165</v>
      </c>
      <c r="N537" t="s">
        <v>1458</v>
      </c>
      <c r="O537" t="s">
        <v>3149</v>
      </c>
    </row>
    <row r="538" spans="1:15" x14ac:dyDescent="0.3">
      <c r="A538" t="s">
        <v>1459</v>
      </c>
      <c r="B538">
        <v>7</v>
      </c>
      <c r="C538" s="1">
        <v>45128</v>
      </c>
      <c r="D538" t="s">
        <v>1460</v>
      </c>
      <c r="E538" t="s">
        <v>1461</v>
      </c>
      <c r="F538" t="s">
        <v>15</v>
      </c>
      <c r="G538" t="s">
        <v>84</v>
      </c>
      <c r="H538">
        <v>105</v>
      </c>
      <c r="I538">
        <v>2015</v>
      </c>
      <c r="J538" t="s">
        <v>17</v>
      </c>
      <c r="K538">
        <v>136998</v>
      </c>
      <c r="L538" s="1">
        <v>42029</v>
      </c>
      <c r="M538" s="1" t="s">
        <v>3165</v>
      </c>
      <c r="N538" t="s">
        <v>1462</v>
      </c>
      <c r="O538" t="s">
        <v>3149</v>
      </c>
    </row>
    <row r="539" spans="1:15" x14ac:dyDescent="0.3">
      <c r="A539" t="s">
        <v>1463</v>
      </c>
      <c r="B539">
        <v>7</v>
      </c>
      <c r="C539" s="1">
        <v>44148</v>
      </c>
      <c r="D539" t="s">
        <v>1464</v>
      </c>
      <c r="E539" t="s">
        <v>1465</v>
      </c>
      <c r="F539" t="s">
        <v>15</v>
      </c>
      <c r="G539" t="s">
        <v>41</v>
      </c>
      <c r="H539">
        <v>102</v>
      </c>
      <c r="I539">
        <v>2016</v>
      </c>
      <c r="J539" t="s">
        <v>1466</v>
      </c>
      <c r="K539">
        <v>247488</v>
      </c>
      <c r="L539" s="1">
        <v>42506</v>
      </c>
      <c r="M539" s="1" t="s">
        <v>3165</v>
      </c>
      <c r="N539" t="s">
        <v>1467</v>
      </c>
      <c r="O539" t="s">
        <v>3149</v>
      </c>
    </row>
    <row r="540" spans="1:15" x14ac:dyDescent="0.3">
      <c r="A540" t="s">
        <v>1468</v>
      </c>
      <c r="B540">
        <v>8</v>
      </c>
      <c r="C540" s="1">
        <v>44324</v>
      </c>
      <c r="D540" t="s">
        <v>1469</v>
      </c>
      <c r="E540" t="s">
        <v>1470</v>
      </c>
      <c r="F540" t="s">
        <v>15</v>
      </c>
      <c r="G540" t="s">
        <v>23</v>
      </c>
      <c r="H540">
        <v>106</v>
      </c>
      <c r="I540">
        <v>2014</v>
      </c>
      <c r="J540" t="s">
        <v>556</v>
      </c>
      <c r="K540">
        <v>956612</v>
      </c>
      <c r="L540" s="1">
        <v>41655</v>
      </c>
      <c r="M540" s="1" t="s">
        <v>3165</v>
      </c>
      <c r="N540" t="s">
        <v>221</v>
      </c>
      <c r="O540" t="s">
        <v>3149</v>
      </c>
    </row>
    <row r="541" spans="1:15" x14ac:dyDescent="0.3">
      <c r="A541" t="s">
        <v>1471</v>
      </c>
      <c r="B541">
        <v>7</v>
      </c>
      <c r="C541" s="1">
        <v>43862</v>
      </c>
      <c r="D541" t="s">
        <v>1472</v>
      </c>
      <c r="E541" t="s">
        <v>1473</v>
      </c>
      <c r="F541" t="s">
        <v>15</v>
      </c>
      <c r="G541" t="s">
        <v>143</v>
      </c>
      <c r="H541">
        <v>108</v>
      </c>
      <c r="I541">
        <v>2019</v>
      </c>
      <c r="J541" t="s">
        <v>1133</v>
      </c>
      <c r="K541">
        <v>430062</v>
      </c>
      <c r="L541" s="1">
        <v>43716</v>
      </c>
      <c r="M541" s="1" t="s">
        <v>3165</v>
      </c>
      <c r="N541" t="s">
        <v>1474</v>
      </c>
      <c r="O541" t="s">
        <v>3149</v>
      </c>
    </row>
    <row r="542" spans="1:15" x14ac:dyDescent="0.3">
      <c r="A542" t="s">
        <v>1480</v>
      </c>
      <c r="B542">
        <v>7</v>
      </c>
      <c r="C542" s="1">
        <v>45007</v>
      </c>
      <c r="D542" t="s">
        <v>1481</v>
      </c>
      <c r="E542" t="s">
        <v>1482</v>
      </c>
      <c r="F542" t="s">
        <v>47</v>
      </c>
      <c r="G542" t="s">
        <v>346</v>
      </c>
      <c r="H542">
        <v>6</v>
      </c>
      <c r="I542">
        <v>2023</v>
      </c>
      <c r="J542" t="s">
        <v>199</v>
      </c>
      <c r="K542">
        <v>69</v>
      </c>
      <c r="L542" s="1">
        <v>44976</v>
      </c>
      <c r="M542" s="1" t="s">
        <v>3154</v>
      </c>
      <c r="N542" t="s">
        <v>1483</v>
      </c>
      <c r="O542" t="s">
        <v>3175</v>
      </c>
    </row>
    <row r="543" spans="1:15" x14ac:dyDescent="0.3">
      <c r="A543" t="s">
        <v>1484</v>
      </c>
      <c r="B543">
        <v>3</v>
      </c>
      <c r="C543" s="1">
        <v>45175</v>
      </c>
      <c r="D543" t="s">
        <v>1485</v>
      </c>
      <c r="E543" t="s">
        <v>1486</v>
      </c>
      <c r="F543" t="s">
        <v>47</v>
      </c>
      <c r="G543" t="s">
        <v>1487</v>
      </c>
      <c r="H543">
        <v>17</v>
      </c>
      <c r="I543">
        <v>2022</v>
      </c>
      <c r="J543" t="s">
        <v>199</v>
      </c>
      <c r="K543">
        <v>5</v>
      </c>
      <c r="L543" s="1">
        <v>44712</v>
      </c>
      <c r="M543" s="1" t="s">
        <v>3154</v>
      </c>
      <c r="N543" t="s">
        <v>1488</v>
      </c>
      <c r="O543" t="s">
        <v>3149</v>
      </c>
    </row>
    <row r="544" spans="1:15" x14ac:dyDescent="0.3">
      <c r="A544" t="s">
        <v>1489</v>
      </c>
      <c r="B544">
        <v>8</v>
      </c>
      <c r="C544" s="1">
        <v>43822</v>
      </c>
      <c r="D544" t="s">
        <v>1490</v>
      </c>
      <c r="E544" t="s">
        <v>1491</v>
      </c>
      <c r="F544" t="s">
        <v>15</v>
      </c>
      <c r="G544" t="s">
        <v>158</v>
      </c>
      <c r="H544">
        <v>101</v>
      </c>
      <c r="I544">
        <v>2013</v>
      </c>
      <c r="J544" t="s">
        <v>1492</v>
      </c>
      <c r="K544">
        <v>7828</v>
      </c>
      <c r="L544" s="1">
        <v>41442</v>
      </c>
      <c r="M544" s="1" t="s">
        <v>3210</v>
      </c>
      <c r="N544" t="s">
        <v>1493</v>
      </c>
      <c r="O544" t="s">
        <v>3149</v>
      </c>
    </row>
    <row r="545" spans="1:15" x14ac:dyDescent="0.3">
      <c r="A545" t="s">
        <v>1497</v>
      </c>
      <c r="B545">
        <v>7</v>
      </c>
      <c r="C545" s="1">
        <v>45217</v>
      </c>
      <c r="D545" t="s">
        <v>1498</v>
      </c>
      <c r="E545" t="s">
        <v>1499</v>
      </c>
      <c r="F545" t="s">
        <v>551</v>
      </c>
      <c r="G545" t="s">
        <v>41</v>
      </c>
      <c r="H545">
        <v>70</v>
      </c>
      <c r="I545">
        <v>2023</v>
      </c>
      <c r="J545" t="s">
        <v>235</v>
      </c>
      <c r="K545">
        <v>684</v>
      </c>
      <c r="L545" s="1">
        <v>44954</v>
      </c>
      <c r="M545" s="1" t="s">
        <v>3165</v>
      </c>
      <c r="N545" t="s">
        <v>25</v>
      </c>
      <c r="O545" t="s">
        <v>3149</v>
      </c>
    </row>
    <row r="546" spans="1:15" x14ac:dyDescent="0.3">
      <c r="A546" t="s">
        <v>1500</v>
      </c>
      <c r="B546">
        <v>7</v>
      </c>
      <c r="C546" s="1">
        <v>45272</v>
      </c>
      <c r="D546" t="s">
        <v>1501</v>
      </c>
      <c r="E546" t="s">
        <v>1502</v>
      </c>
      <c r="F546" t="s">
        <v>15</v>
      </c>
      <c r="G546" t="s">
        <v>56</v>
      </c>
      <c r="H546">
        <v>98</v>
      </c>
      <c r="I546">
        <v>2023</v>
      </c>
      <c r="J546" t="s">
        <v>24</v>
      </c>
      <c r="K546">
        <v>3213</v>
      </c>
      <c r="L546" s="1">
        <v>44975</v>
      </c>
      <c r="M546" s="1" t="s">
        <v>3180</v>
      </c>
      <c r="N546" t="s">
        <v>1503</v>
      </c>
      <c r="O546" t="s">
        <v>3149</v>
      </c>
    </row>
    <row r="547" spans="1:15" x14ac:dyDescent="0.3">
      <c r="A547" t="s">
        <v>1507</v>
      </c>
      <c r="B547">
        <v>7</v>
      </c>
      <c r="C547" s="1">
        <v>43581</v>
      </c>
      <c r="D547" t="s">
        <v>1508</v>
      </c>
      <c r="E547" t="s">
        <v>1509</v>
      </c>
      <c r="F547" t="s">
        <v>15</v>
      </c>
      <c r="G547" t="s">
        <v>35</v>
      </c>
      <c r="H547">
        <v>100</v>
      </c>
      <c r="I547">
        <v>2018</v>
      </c>
      <c r="J547" t="s">
        <v>1510</v>
      </c>
      <c r="K547">
        <v>251778</v>
      </c>
      <c r="L547" s="1">
        <v>43146</v>
      </c>
      <c r="M547" s="1" t="s">
        <v>3165</v>
      </c>
      <c r="N547" t="s">
        <v>1511</v>
      </c>
      <c r="O547" t="s">
        <v>3149</v>
      </c>
    </row>
    <row r="548" spans="1:15" x14ac:dyDescent="0.3">
      <c r="A548" t="s">
        <v>1512</v>
      </c>
      <c r="B548">
        <v>7</v>
      </c>
      <c r="C548" s="1">
        <v>44554</v>
      </c>
      <c r="D548" t="s">
        <v>1513</v>
      </c>
      <c r="E548" t="s">
        <v>1514</v>
      </c>
      <c r="F548" t="s">
        <v>15</v>
      </c>
      <c r="G548" t="s">
        <v>148</v>
      </c>
      <c r="H548">
        <v>82</v>
      </c>
      <c r="I548">
        <v>2013</v>
      </c>
      <c r="J548" t="s">
        <v>24</v>
      </c>
      <c r="K548">
        <v>60141</v>
      </c>
      <c r="L548" s="1">
        <v>41516</v>
      </c>
      <c r="M548" s="1" t="s">
        <v>3166</v>
      </c>
      <c r="N548" t="s">
        <v>1515</v>
      </c>
      <c r="O548" t="s">
        <v>3149</v>
      </c>
    </row>
    <row r="549" spans="1:15" x14ac:dyDescent="0.3">
      <c r="A549" t="s">
        <v>1516</v>
      </c>
      <c r="B549">
        <v>8</v>
      </c>
      <c r="C549" s="1">
        <v>45007</v>
      </c>
      <c r="D549" t="s">
        <v>1517</v>
      </c>
      <c r="E549" t="s">
        <v>1518</v>
      </c>
      <c r="F549" t="s">
        <v>47</v>
      </c>
      <c r="G549" t="s">
        <v>79</v>
      </c>
      <c r="H549">
        <v>10</v>
      </c>
      <c r="I549">
        <v>2023</v>
      </c>
      <c r="J549" t="s">
        <v>48</v>
      </c>
      <c r="K549">
        <v>13</v>
      </c>
      <c r="L549" s="1">
        <v>44994</v>
      </c>
      <c r="M549" s="1" t="s">
        <v>3154</v>
      </c>
      <c r="N549" t="s">
        <v>1519</v>
      </c>
      <c r="O549" t="s">
        <v>3149</v>
      </c>
    </row>
    <row r="550" spans="1:15" x14ac:dyDescent="0.3">
      <c r="A550" t="s">
        <v>1528</v>
      </c>
      <c r="B550">
        <v>7</v>
      </c>
      <c r="C550" s="1">
        <v>44559</v>
      </c>
      <c r="D550" t="s">
        <v>1529</v>
      </c>
      <c r="E550" t="s">
        <v>1530</v>
      </c>
      <c r="F550" t="s">
        <v>15</v>
      </c>
      <c r="G550" t="s">
        <v>158</v>
      </c>
      <c r="H550">
        <v>95</v>
      </c>
      <c r="I550">
        <v>2013</v>
      </c>
      <c r="J550" t="s">
        <v>42</v>
      </c>
      <c r="K550">
        <v>37761</v>
      </c>
      <c r="L550" s="1">
        <v>41410</v>
      </c>
      <c r="M550" s="1" t="s">
        <v>3155</v>
      </c>
      <c r="N550" t="s">
        <v>183</v>
      </c>
      <c r="O550" t="s">
        <v>3149</v>
      </c>
    </row>
    <row r="551" spans="1:15" x14ac:dyDescent="0.3">
      <c r="A551" t="s">
        <v>1531</v>
      </c>
      <c r="B551">
        <v>5</v>
      </c>
      <c r="C551" s="1">
        <v>45259</v>
      </c>
      <c r="D551" t="s">
        <v>1532</v>
      </c>
      <c r="E551" t="s">
        <v>1533</v>
      </c>
      <c r="F551" t="s">
        <v>47</v>
      </c>
      <c r="G551" t="s">
        <v>346</v>
      </c>
      <c r="H551">
        <v>15</v>
      </c>
      <c r="I551">
        <v>2023</v>
      </c>
      <c r="J551" t="s">
        <v>456</v>
      </c>
      <c r="K551">
        <v>18</v>
      </c>
      <c r="L551" s="1">
        <v>45072</v>
      </c>
      <c r="M551" s="1" t="s">
        <v>3154</v>
      </c>
      <c r="N551" t="s">
        <v>1534</v>
      </c>
    </row>
    <row r="552" spans="1:15" x14ac:dyDescent="0.3">
      <c r="A552" t="s">
        <v>1535</v>
      </c>
      <c r="B552">
        <v>7</v>
      </c>
      <c r="C552" s="1">
        <v>45083</v>
      </c>
      <c r="D552" t="s">
        <v>1536</v>
      </c>
      <c r="E552" t="s">
        <v>1537</v>
      </c>
      <c r="F552" t="s">
        <v>47</v>
      </c>
      <c r="G552" t="s">
        <v>369</v>
      </c>
      <c r="H552">
        <v>22</v>
      </c>
      <c r="I552">
        <v>2023</v>
      </c>
      <c r="J552" t="s">
        <v>48</v>
      </c>
      <c r="K552">
        <v>23</v>
      </c>
      <c r="L552" s="1">
        <v>45046</v>
      </c>
      <c r="M552" s="1" t="s">
        <v>3154</v>
      </c>
      <c r="N552" t="s">
        <v>52</v>
      </c>
      <c r="O552" t="s">
        <v>3149</v>
      </c>
    </row>
    <row r="553" spans="1:15" x14ac:dyDescent="0.3">
      <c r="A553" t="s">
        <v>1538</v>
      </c>
      <c r="B553">
        <v>6</v>
      </c>
      <c r="C553" s="1">
        <v>45157</v>
      </c>
      <c r="D553" t="s">
        <v>1539</v>
      </c>
      <c r="E553" t="s">
        <v>1540</v>
      </c>
      <c r="F553" t="s">
        <v>551</v>
      </c>
      <c r="G553" t="s">
        <v>158</v>
      </c>
      <c r="H553">
        <v>45</v>
      </c>
      <c r="I553">
        <v>2023</v>
      </c>
      <c r="J553" t="s">
        <v>394</v>
      </c>
      <c r="K553">
        <v>58</v>
      </c>
      <c r="L553" s="1">
        <v>45045</v>
      </c>
      <c r="M553" s="1" t="s">
        <v>3171</v>
      </c>
      <c r="N553" t="s">
        <v>1541</v>
      </c>
      <c r="O553" t="s">
        <v>3149</v>
      </c>
    </row>
    <row r="554" spans="1:15" x14ac:dyDescent="0.3">
      <c r="A554" t="s">
        <v>1545</v>
      </c>
      <c r="B554">
        <v>7</v>
      </c>
      <c r="C554" s="1">
        <v>45244</v>
      </c>
      <c r="D554" t="s">
        <v>1546</v>
      </c>
      <c r="E554" t="s">
        <v>1547</v>
      </c>
      <c r="F554" t="s">
        <v>15</v>
      </c>
      <c r="G554" t="s">
        <v>148</v>
      </c>
      <c r="H554">
        <v>87</v>
      </c>
      <c r="I554">
        <v>2023</v>
      </c>
      <c r="J554" t="s">
        <v>96</v>
      </c>
      <c r="K554">
        <v>2199</v>
      </c>
      <c r="L554" s="1">
        <v>45116</v>
      </c>
      <c r="M554" s="1" t="s">
        <v>3165</v>
      </c>
      <c r="N554" t="s">
        <v>1548</v>
      </c>
      <c r="O554" t="s">
        <v>3149</v>
      </c>
    </row>
    <row r="555" spans="1:15" x14ac:dyDescent="0.3">
      <c r="A555" t="s">
        <v>1553</v>
      </c>
      <c r="B555">
        <v>7</v>
      </c>
      <c r="C555" s="1">
        <v>45147</v>
      </c>
      <c r="D555" t="s">
        <v>1554</v>
      </c>
      <c r="E555" t="s">
        <v>1555</v>
      </c>
      <c r="F555" t="s">
        <v>15</v>
      </c>
      <c r="G555" t="s">
        <v>61</v>
      </c>
      <c r="H555">
        <v>128</v>
      </c>
      <c r="I555">
        <v>2015</v>
      </c>
      <c r="J555" t="s">
        <v>1556</v>
      </c>
      <c r="K555">
        <v>54296</v>
      </c>
      <c r="L555" s="1">
        <v>42140</v>
      </c>
      <c r="M555" s="1" t="s">
        <v>3171</v>
      </c>
      <c r="N555" t="s">
        <v>1557</v>
      </c>
      <c r="O555" t="s">
        <v>3149</v>
      </c>
    </row>
    <row r="556" spans="1:15" x14ac:dyDescent="0.3">
      <c r="A556" t="s">
        <v>1558</v>
      </c>
      <c r="B556">
        <v>6</v>
      </c>
      <c r="C556" s="1">
        <v>43922</v>
      </c>
      <c r="D556" t="s">
        <v>1559</v>
      </c>
      <c r="E556" t="s">
        <v>1560</v>
      </c>
      <c r="F556" t="s">
        <v>15</v>
      </c>
      <c r="G556" t="s">
        <v>79</v>
      </c>
      <c r="H556">
        <v>89</v>
      </c>
      <c r="I556">
        <v>2013</v>
      </c>
      <c r="J556" t="s">
        <v>389</v>
      </c>
      <c r="K556">
        <v>815</v>
      </c>
      <c r="L556" s="1">
        <v>41412</v>
      </c>
      <c r="M556" s="1" t="s">
        <v>3154</v>
      </c>
      <c r="N556" t="s">
        <v>1561</v>
      </c>
      <c r="O556" t="s">
        <v>3149</v>
      </c>
    </row>
    <row r="557" spans="1:15" x14ac:dyDescent="0.3">
      <c r="A557" t="s">
        <v>1562</v>
      </c>
      <c r="B557">
        <v>6</v>
      </c>
      <c r="C557" s="1">
        <v>45006</v>
      </c>
      <c r="D557" t="s">
        <v>1563</v>
      </c>
      <c r="E557" t="s">
        <v>1564</v>
      </c>
      <c r="F557" t="s">
        <v>15</v>
      </c>
      <c r="G557" t="s">
        <v>158</v>
      </c>
      <c r="H557">
        <v>84</v>
      </c>
      <c r="I557">
        <v>2015</v>
      </c>
      <c r="J557" t="s">
        <v>261</v>
      </c>
      <c r="K557">
        <v>28421</v>
      </c>
      <c r="L557" s="1">
        <v>42028</v>
      </c>
      <c r="M557" s="1" t="s">
        <v>3165</v>
      </c>
      <c r="N557" t="s">
        <v>1367</v>
      </c>
      <c r="O557" t="s">
        <v>3149</v>
      </c>
    </row>
    <row r="558" spans="1:15" x14ac:dyDescent="0.3">
      <c r="A558" t="s">
        <v>1565</v>
      </c>
      <c r="B558">
        <v>8</v>
      </c>
      <c r="C558" s="1">
        <v>44289</v>
      </c>
      <c r="D558" t="s">
        <v>1566</v>
      </c>
      <c r="E558" t="s">
        <v>1567</v>
      </c>
      <c r="F558" t="s">
        <v>15</v>
      </c>
      <c r="G558" t="s">
        <v>61</v>
      </c>
      <c r="H558">
        <v>117</v>
      </c>
      <c r="I558">
        <v>2014</v>
      </c>
      <c r="J558" t="s">
        <v>123</v>
      </c>
      <c r="K558">
        <v>592401</v>
      </c>
      <c r="L558" s="1">
        <v>41887</v>
      </c>
      <c r="M558" s="1" t="s">
        <v>3165</v>
      </c>
      <c r="N558" t="s">
        <v>1568</v>
      </c>
      <c r="O558" t="s">
        <v>3149</v>
      </c>
    </row>
    <row r="559" spans="1:15" x14ac:dyDescent="0.3">
      <c r="A559" t="s">
        <v>1569</v>
      </c>
      <c r="B559">
        <v>7</v>
      </c>
      <c r="C559" s="1">
        <v>45210</v>
      </c>
      <c r="D559" t="s">
        <v>1570</v>
      </c>
      <c r="E559" t="s">
        <v>1571</v>
      </c>
      <c r="F559" t="s">
        <v>47</v>
      </c>
      <c r="G559" t="s">
        <v>67</v>
      </c>
      <c r="H559">
        <v>17</v>
      </c>
      <c r="I559">
        <v>2023</v>
      </c>
      <c r="J559" t="s">
        <v>597</v>
      </c>
      <c r="K559">
        <v>15449</v>
      </c>
      <c r="L559" s="1">
        <v>45197</v>
      </c>
      <c r="M559" s="1" t="s">
        <v>3165</v>
      </c>
      <c r="N559" t="s">
        <v>298</v>
      </c>
      <c r="O559" t="s">
        <v>3149</v>
      </c>
    </row>
    <row r="560" spans="1:15" x14ac:dyDescent="0.3">
      <c r="A560" t="s">
        <v>1572</v>
      </c>
      <c r="B560">
        <v>6</v>
      </c>
      <c r="C560" s="1">
        <v>45210</v>
      </c>
      <c r="D560" t="s">
        <v>1573</v>
      </c>
      <c r="E560" t="s">
        <v>1574</v>
      </c>
      <c r="F560" t="s">
        <v>47</v>
      </c>
      <c r="G560" t="s">
        <v>73</v>
      </c>
      <c r="H560">
        <v>17</v>
      </c>
      <c r="I560">
        <v>2023</v>
      </c>
      <c r="J560" t="s">
        <v>597</v>
      </c>
      <c r="K560">
        <v>15215</v>
      </c>
      <c r="L560" s="1">
        <v>45198</v>
      </c>
      <c r="M560" s="1" t="s">
        <v>3165</v>
      </c>
      <c r="N560" t="s">
        <v>298</v>
      </c>
      <c r="O560" t="s">
        <v>3149</v>
      </c>
    </row>
    <row r="561" spans="1:15" x14ac:dyDescent="0.3">
      <c r="A561" t="s">
        <v>1575</v>
      </c>
      <c r="B561">
        <v>7</v>
      </c>
      <c r="C561" s="1">
        <v>45235</v>
      </c>
      <c r="D561" t="s">
        <v>1576</v>
      </c>
      <c r="E561" t="s">
        <v>1577</v>
      </c>
      <c r="F561" t="s">
        <v>47</v>
      </c>
      <c r="G561" t="s">
        <v>67</v>
      </c>
      <c r="H561">
        <v>17</v>
      </c>
      <c r="I561">
        <v>2023</v>
      </c>
      <c r="J561" t="s">
        <v>1578</v>
      </c>
      <c r="K561">
        <v>16555</v>
      </c>
      <c r="L561" s="1">
        <v>45199</v>
      </c>
      <c r="M561" s="1" t="s">
        <v>3165</v>
      </c>
      <c r="N561" t="s">
        <v>298</v>
      </c>
      <c r="O561" t="s">
        <v>3149</v>
      </c>
    </row>
    <row r="562" spans="1:15" x14ac:dyDescent="0.3">
      <c r="A562" t="s">
        <v>1582</v>
      </c>
      <c r="B562">
        <v>6</v>
      </c>
      <c r="C562" s="1">
        <v>43690</v>
      </c>
      <c r="D562" s="3" t="s">
        <v>1583</v>
      </c>
      <c r="E562" t="s">
        <v>1584</v>
      </c>
      <c r="F562" t="s">
        <v>15</v>
      </c>
      <c r="G562" t="s">
        <v>1585</v>
      </c>
      <c r="H562">
        <v>89</v>
      </c>
      <c r="I562">
        <v>2017</v>
      </c>
      <c r="J562" t="s">
        <v>738</v>
      </c>
      <c r="K562">
        <v>60180</v>
      </c>
      <c r="L562" s="1">
        <v>42880</v>
      </c>
      <c r="M562" s="1" t="s">
        <v>3171</v>
      </c>
      <c r="N562" t="s">
        <v>1586</v>
      </c>
      <c r="O562" t="s">
        <v>3149</v>
      </c>
    </row>
    <row r="563" spans="1:15" x14ac:dyDescent="0.3">
      <c r="A563" t="s">
        <v>1587</v>
      </c>
      <c r="B563">
        <v>8</v>
      </c>
      <c r="C563" s="1">
        <v>45281</v>
      </c>
      <c r="D563" s="3">
        <v>1670</v>
      </c>
      <c r="E563" t="s">
        <v>1588</v>
      </c>
      <c r="F563" t="s">
        <v>216</v>
      </c>
      <c r="G563" t="s">
        <v>29</v>
      </c>
      <c r="H563">
        <v>240</v>
      </c>
      <c r="I563">
        <v>2023</v>
      </c>
      <c r="J563" t="s">
        <v>1589</v>
      </c>
      <c r="K563">
        <v>2756</v>
      </c>
      <c r="L563" s="1">
        <v>45273</v>
      </c>
      <c r="M563" s="1" t="s">
        <v>3166</v>
      </c>
      <c r="N563" t="s">
        <v>3225</v>
      </c>
      <c r="O563" t="s">
        <v>3149</v>
      </c>
    </row>
    <row r="564" spans="1:15" x14ac:dyDescent="0.3">
      <c r="A564" t="s">
        <v>1590</v>
      </c>
      <c r="B564">
        <v>8</v>
      </c>
      <c r="C564" s="1">
        <v>44236</v>
      </c>
      <c r="D564" t="s">
        <v>1591</v>
      </c>
      <c r="E564" t="s">
        <v>1592</v>
      </c>
      <c r="F564" t="s">
        <v>15</v>
      </c>
      <c r="G564" t="s">
        <v>29</v>
      </c>
      <c r="H564">
        <v>100</v>
      </c>
      <c r="I564">
        <v>2020</v>
      </c>
      <c r="J564" t="s">
        <v>1593</v>
      </c>
      <c r="K564">
        <v>366724</v>
      </c>
      <c r="L564" s="1">
        <v>44115</v>
      </c>
      <c r="M564" s="1" t="s">
        <v>3165</v>
      </c>
      <c r="N564" t="s">
        <v>1594</v>
      </c>
      <c r="O564" t="s">
        <v>3149</v>
      </c>
    </row>
    <row r="565" spans="1:15" x14ac:dyDescent="0.3">
      <c r="A565" t="s">
        <v>1595</v>
      </c>
      <c r="B565">
        <v>8</v>
      </c>
      <c r="C565" s="1">
        <v>45150</v>
      </c>
      <c r="D565" t="s">
        <v>1596</v>
      </c>
      <c r="E565" t="s">
        <v>1597</v>
      </c>
      <c r="F565" t="s">
        <v>15</v>
      </c>
      <c r="G565" t="s">
        <v>524</v>
      </c>
      <c r="H565">
        <v>105</v>
      </c>
      <c r="I565">
        <v>2016</v>
      </c>
      <c r="J565" t="s">
        <v>1432</v>
      </c>
      <c r="K565">
        <v>2688</v>
      </c>
      <c r="L565" s="1">
        <v>42411</v>
      </c>
      <c r="M565" s="1" t="s">
        <v>3201</v>
      </c>
      <c r="N565" t="s">
        <v>1598</v>
      </c>
      <c r="O565" t="s">
        <v>3149</v>
      </c>
    </row>
    <row r="566" spans="1:15" x14ac:dyDescent="0.3">
      <c r="A566" t="s">
        <v>1599</v>
      </c>
      <c r="B566">
        <v>7</v>
      </c>
      <c r="C566" s="1">
        <v>45225</v>
      </c>
      <c r="D566" t="s">
        <v>1600</v>
      </c>
      <c r="E566" t="s">
        <v>1601</v>
      </c>
      <c r="F566" t="s">
        <v>47</v>
      </c>
      <c r="G566" t="s">
        <v>25</v>
      </c>
      <c r="H566">
        <v>25</v>
      </c>
      <c r="I566">
        <v>2022</v>
      </c>
      <c r="J566" t="s">
        <v>199</v>
      </c>
      <c r="M566" s="1" t="s">
        <v>3205</v>
      </c>
      <c r="N566" t="s">
        <v>1602</v>
      </c>
      <c r="O566" t="s">
        <v>3149</v>
      </c>
    </row>
    <row r="567" spans="1:15" x14ac:dyDescent="0.3">
      <c r="A567" t="s">
        <v>1603</v>
      </c>
      <c r="B567">
        <v>6</v>
      </c>
      <c r="C567" s="1">
        <v>45225</v>
      </c>
      <c r="D567" t="s">
        <v>1604</v>
      </c>
      <c r="E567" t="s">
        <v>1605</v>
      </c>
      <c r="F567" t="s">
        <v>47</v>
      </c>
      <c r="G567" t="s">
        <v>25</v>
      </c>
      <c r="H567">
        <v>11</v>
      </c>
      <c r="I567">
        <v>2023</v>
      </c>
      <c r="J567" t="s">
        <v>199</v>
      </c>
      <c r="L567" s="1">
        <v>45208</v>
      </c>
      <c r="M567" s="1" t="s">
        <v>3154</v>
      </c>
      <c r="N567" t="s">
        <v>1606</v>
      </c>
      <c r="O567" t="s">
        <v>3149</v>
      </c>
    </row>
    <row r="568" spans="1:15" x14ac:dyDescent="0.3">
      <c r="A568" t="s">
        <v>1607</v>
      </c>
      <c r="B568">
        <v>7</v>
      </c>
      <c r="C568" s="1">
        <v>45225</v>
      </c>
      <c r="D568" t="s">
        <v>1608</v>
      </c>
      <c r="E568" t="s">
        <v>1609</v>
      </c>
      <c r="F568" t="s">
        <v>47</v>
      </c>
      <c r="G568" t="s">
        <v>25</v>
      </c>
      <c r="H568">
        <v>15</v>
      </c>
      <c r="I568">
        <v>2023</v>
      </c>
      <c r="J568" t="s">
        <v>199</v>
      </c>
      <c r="L568" s="1">
        <v>45208</v>
      </c>
      <c r="M568" s="1" t="s">
        <v>3193</v>
      </c>
      <c r="N568" t="s">
        <v>1610</v>
      </c>
      <c r="O568" t="s">
        <v>3149</v>
      </c>
    </row>
    <row r="569" spans="1:15" x14ac:dyDescent="0.3">
      <c r="A569" t="s">
        <v>1611</v>
      </c>
      <c r="B569">
        <v>7</v>
      </c>
      <c r="C569" s="1">
        <v>45225</v>
      </c>
      <c r="D569" t="s">
        <v>1612</v>
      </c>
      <c r="E569" t="s">
        <v>1613</v>
      </c>
      <c r="F569" t="s">
        <v>47</v>
      </c>
      <c r="G569" t="s">
        <v>25</v>
      </c>
      <c r="H569">
        <v>17</v>
      </c>
      <c r="I569">
        <v>2023</v>
      </c>
      <c r="J569" t="s">
        <v>199</v>
      </c>
      <c r="L569" s="1">
        <v>45208</v>
      </c>
      <c r="M569" s="1" t="s">
        <v>3202</v>
      </c>
      <c r="N569" t="s">
        <v>1614</v>
      </c>
      <c r="O569" t="s">
        <v>3149</v>
      </c>
    </row>
    <row r="570" spans="1:15" x14ac:dyDescent="0.3">
      <c r="A570" t="s">
        <v>1615</v>
      </c>
      <c r="B570">
        <v>7</v>
      </c>
      <c r="C570" s="1">
        <v>45228</v>
      </c>
      <c r="D570" t="s">
        <v>1616</v>
      </c>
      <c r="E570" t="s">
        <v>1617</v>
      </c>
      <c r="F570" t="s">
        <v>47</v>
      </c>
      <c r="G570" t="s">
        <v>25</v>
      </c>
      <c r="H570">
        <v>13</v>
      </c>
      <c r="I570">
        <v>2023</v>
      </c>
      <c r="J570" t="s">
        <v>199</v>
      </c>
      <c r="L570" s="1">
        <v>45208</v>
      </c>
      <c r="M570" s="1" t="s">
        <v>3223</v>
      </c>
      <c r="N570" t="s">
        <v>1618</v>
      </c>
      <c r="O570" t="s">
        <v>3149</v>
      </c>
    </row>
    <row r="571" spans="1:15" x14ac:dyDescent="0.3">
      <c r="A571" t="s">
        <v>1631</v>
      </c>
      <c r="B571">
        <v>6</v>
      </c>
      <c r="C571" s="1">
        <v>44882</v>
      </c>
      <c r="D571" t="s">
        <v>1632</v>
      </c>
      <c r="E571" t="s">
        <v>1633</v>
      </c>
      <c r="F571" t="s">
        <v>47</v>
      </c>
      <c r="G571" t="s">
        <v>105</v>
      </c>
      <c r="H571">
        <v>30</v>
      </c>
      <c r="I571">
        <v>1939</v>
      </c>
      <c r="J571" t="s">
        <v>456</v>
      </c>
      <c r="K571">
        <v>12</v>
      </c>
      <c r="L571" s="1">
        <v>14610</v>
      </c>
      <c r="M571" s="1" t="s">
        <v>3179</v>
      </c>
      <c r="N571" t="s">
        <v>1634</v>
      </c>
      <c r="O571" t="s">
        <v>3149</v>
      </c>
    </row>
    <row r="572" spans="1:15" x14ac:dyDescent="0.3">
      <c r="A572" t="s">
        <v>1646</v>
      </c>
      <c r="B572">
        <v>5</v>
      </c>
      <c r="C572" s="1">
        <v>44736</v>
      </c>
      <c r="D572" t="s">
        <v>1647</v>
      </c>
      <c r="E572" t="s">
        <v>1648</v>
      </c>
      <c r="F572" t="s">
        <v>47</v>
      </c>
      <c r="G572" t="s">
        <v>79</v>
      </c>
      <c r="H572">
        <v>19</v>
      </c>
      <c r="I572">
        <v>2014</v>
      </c>
      <c r="J572" t="s">
        <v>1649</v>
      </c>
      <c r="K572">
        <v>24</v>
      </c>
      <c r="L572" s="1">
        <v>41836</v>
      </c>
      <c r="M572" s="1" t="s">
        <v>3154</v>
      </c>
      <c r="N572" t="s">
        <v>1650</v>
      </c>
      <c r="O572" t="s">
        <v>3149</v>
      </c>
    </row>
    <row r="573" spans="1:15" x14ac:dyDescent="0.3">
      <c r="A573" t="s">
        <v>1656</v>
      </c>
      <c r="B573">
        <v>7</v>
      </c>
      <c r="C573" s="1">
        <v>44402</v>
      </c>
      <c r="D573" t="s">
        <v>1657</v>
      </c>
      <c r="E573" t="s">
        <v>1658</v>
      </c>
      <c r="F573" t="s">
        <v>551</v>
      </c>
      <c r="G573" t="s">
        <v>187</v>
      </c>
      <c r="H573">
        <v>60</v>
      </c>
      <c r="I573">
        <v>2013</v>
      </c>
      <c r="J573" t="s">
        <v>1659</v>
      </c>
      <c r="K573">
        <v>12834</v>
      </c>
      <c r="L573" s="1">
        <v>41624</v>
      </c>
      <c r="M573" s="1" t="s">
        <v>3165</v>
      </c>
      <c r="N573" t="s">
        <v>1660</v>
      </c>
      <c r="O573" t="s">
        <v>3149</v>
      </c>
    </row>
    <row r="574" spans="1:15" x14ac:dyDescent="0.3">
      <c r="A574" t="s">
        <v>1661</v>
      </c>
      <c r="B574">
        <v>6</v>
      </c>
      <c r="C574" s="1">
        <v>44397</v>
      </c>
      <c r="D574" t="s">
        <v>1662</v>
      </c>
      <c r="E574" t="s">
        <v>1663</v>
      </c>
      <c r="F574" t="s">
        <v>15</v>
      </c>
      <c r="G574" t="s">
        <v>16</v>
      </c>
      <c r="H574">
        <v>134</v>
      </c>
      <c r="I574">
        <v>2021</v>
      </c>
      <c r="J574" t="s">
        <v>1664</v>
      </c>
      <c r="K574">
        <v>258872</v>
      </c>
      <c r="L574" s="1">
        <v>44334</v>
      </c>
      <c r="M574" s="1" t="s">
        <v>3165</v>
      </c>
      <c r="N574" t="s">
        <v>1665</v>
      </c>
      <c r="O574" t="s">
        <v>3149</v>
      </c>
    </row>
    <row r="575" spans="1:15" x14ac:dyDescent="0.3">
      <c r="A575" t="s">
        <v>1669</v>
      </c>
      <c r="B575">
        <v>6</v>
      </c>
      <c r="C575" s="1">
        <v>45153</v>
      </c>
      <c r="D575" t="s">
        <v>1670</v>
      </c>
      <c r="E575" t="s">
        <v>1671</v>
      </c>
      <c r="F575" t="s">
        <v>15</v>
      </c>
      <c r="G575" t="s">
        <v>67</v>
      </c>
      <c r="H575">
        <v>100</v>
      </c>
      <c r="I575">
        <v>2014</v>
      </c>
      <c r="J575" t="s">
        <v>738</v>
      </c>
      <c r="K575">
        <v>263798</v>
      </c>
      <c r="L575" s="1">
        <v>41776</v>
      </c>
      <c r="M575" s="1" t="s">
        <v>3165</v>
      </c>
      <c r="N575" t="s">
        <v>1672</v>
      </c>
      <c r="O575" t="s">
        <v>3149</v>
      </c>
    </row>
    <row r="576" spans="1:15" x14ac:dyDescent="0.3">
      <c r="A576" t="s">
        <v>1677</v>
      </c>
      <c r="B576">
        <v>9</v>
      </c>
      <c r="C576" s="1">
        <v>44588</v>
      </c>
      <c r="D576" t="s">
        <v>1678</v>
      </c>
      <c r="E576" t="s">
        <v>1679</v>
      </c>
      <c r="F576" t="s">
        <v>15</v>
      </c>
      <c r="G576" t="s">
        <v>61</v>
      </c>
      <c r="H576">
        <v>135</v>
      </c>
      <c r="I576">
        <v>2019</v>
      </c>
      <c r="J576" t="s">
        <v>42</v>
      </c>
      <c r="K576">
        <v>235420</v>
      </c>
      <c r="L576" s="1">
        <v>43806</v>
      </c>
      <c r="M576" s="1" t="s">
        <v>3165</v>
      </c>
      <c r="N576" t="s">
        <v>902</v>
      </c>
      <c r="O576" t="s">
        <v>3175</v>
      </c>
    </row>
    <row r="577" spans="1:15" x14ac:dyDescent="0.3">
      <c r="A577" t="s">
        <v>1691</v>
      </c>
      <c r="B577">
        <v>6</v>
      </c>
      <c r="C577" s="1">
        <v>44627</v>
      </c>
      <c r="D577" t="s">
        <v>1692</v>
      </c>
      <c r="E577" t="s">
        <v>1693</v>
      </c>
      <c r="F577" t="s">
        <v>708</v>
      </c>
      <c r="G577" t="s">
        <v>84</v>
      </c>
      <c r="H577">
        <v>120</v>
      </c>
      <c r="I577">
        <v>2010</v>
      </c>
      <c r="J577" t="s">
        <v>235</v>
      </c>
      <c r="K577">
        <v>57</v>
      </c>
      <c r="L577" s="1">
        <v>40476</v>
      </c>
      <c r="M577" s="1" t="s">
        <v>3171</v>
      </c>
      <c r="N577" t="s">
        <v>1694</v>
      </c>
      <c r="O577" t="s">
        <v>3149</v>
      </c>
    </row>
    <row r="578" spans="1:15" x14ac:dyDescent="0.3">
      <c r="A578" t="s">
        <v>1702</v>
      </c>
      <c r="B578">
        <v>7</v>
      </c>
      <c r="C578" s="1">
        <v>44417</v>
      </c>
      <c r="D578" t="s">
        <v>1703</v>
      </c>
      <c r="E578" t="s">
        <v>1704</v>
      </c>
      <c r="F578" t="s">
        <v>15</v>
      </c>
      <c r="G578" t="s">
        <v>73</v>
      </c>
      <c r="H578">
        <v>114</v>
      </c>
      <c r="I578">
        <v>2017</v>
      </c>
      <c r="J578" t="s">
        <v>1705</v>
      </c>
      <c r="K578">
        <v>286635</v>
      </c>
      <c r="L578" s="1">
        <v>43042</v>
      </c>
      <c r="M578" s="1" t="s">
        <v>3165</v>
      </c>
      <c r="N578" t="s">
        <v>641</v>
      </c>
      <c r="O578" t="s">
        <v>3149</v>
      </c>
    </row>
    <row r="579" spans="1:15" x14ac:dyDescent="0.3">
      <c r="A579" t="s">
        <v>1706</v>
      </c>
      <c r="B579">
        <v>2</v>
      </c>
      <c r="C579" s="1">
        <v>44949</v>
      </c>
      <c r="D579" t="s">
        <v>1707</v>
      </c>
      <c r="E579" t="s">
        <v>1708</v>
      </c>
      <c r="F579" t="s">
        <v>15</v>
      </c>
      <c r="G579" t="s">
        <v>346</v>
      </c>
      <c r="H579">
        <v>107</v>
      </c>
      <c r="I579">
        <v>2017</v>
      </c>
      <c r="J579" t="s">
        <v>30</v>
      </c>
      <c r="K579">
        <v>22682</v>
      </c>
      <c r="L579" s="1">
        <v>42807</v>
      </c>
      <c r="M579" s="1" t="s">
        <v>3165</v>
      </c>
      <c r="N579" t="s">
        <v>1709</v>
      </c>
      <c r="O579" t="s">
        <v>3149</v>
      </c>
    </row>
    <row r="580" spans="1:15" x14ac:dyDescent="0.3">
      <c r="A580" t="s">
        <v>1710</v>
      </c>
      <c r="B580">
        <v>7</v>
      </c>
      <c r="C580" s="1">
        <v>43925</v>
      </c>
      <c r="D580" t="s">
        <v>1711</v>
      </c>
      <c r="E580" t="s">
        <v>1712</v>
      </c>
      <c r="F580" t="s">
        <v>15</v>
      </c>
      <c r="G580" t="s">
        <v>41</v>
      </c>
      <c r="H580">
        <v>86</v>
      </c>
      <c r="I580">
        <v>2014</v>
      </c>
      <c r="J580" t="s">
        <v>1713</v>
      </c>
      <c r="K580">
        <v>196915</v>
      </c>
      <c r="L580" s="1">
        <v>41658</v>
      </c>
      <c r="M580" s="1" t="s">
        <v>3173</v>
      </c>
      <c r="N580" t="s">
        <v>1714</v>
      </c>
      <c r="O580" t="s">
        <v>3149</v>
      </c>
    </row>
    <row r="581" spans="1:15" x14ac:dyDescent="0.3">
      <c r="A581" t="s">
        <v>1719</v>
      </c>
      <c r="B581">
        <v>7</v>
      </c>
      <c r="C581" s="1">
        <v>43838</v>
      </c>
      <c r="D581" t="s">
        <v>1720</v>
      </c>
      <c r="E581" t="s">
        <v>1721</v>
      </c>
      <c r="F581" t="s">
        <v>15</v>
      </c>
      <c r="G581" t="s">
        <v>61</v>
      </c>
      <c r="H581">
        <v>168</v>
      </c>
      <c r="I581">
        <v>2015</v>
      </c>
      <c r="J581" t="s">
        <v>1722</v>
      </c>
      <c r="K581">
        <v>646782</v>
      </c>
      <c r="L581" s="1">
        <v>42345</v>
      </c>
      <c r="M581" s="1" t="s">
        <v>3165</v>
      </c>
      <c r="N581" t="s">
        <v>189</v>
      </c>
      <c r="O581" t="s">
        <v>3149</v>
      </c>
    </row>
    <row r="582" spans="1:15" x14ac:dyDescent="0.3">
      <c r="A582" t="s">
        <v>1723</v>
      </c>
      <c r="B582">
        <v>7</v>
      </c>
      <c r="C582" s="1">
        <v>44586</v>
      </c>
      <c r="D582" t="s">
        <v>1724</v>
      </c>
      <c r="E582" t="s">
        <v>1725</v>
      </c>
      <c r="F582" t="s">
        <v>15</v>
      </c>
      <c r="G582" t="s">
        <v>198</v>
      </c>
      <c r="H582">
        <v>119</v>
      </c>
      <c r="I582">
        <v>2015</v>
      </c>
      <c r="J582" t="s">
        <v>1726</v>
      </c>
      <c r="K582">
        <v>281637</v>
      </c>
      <c r="L582" s="1">
        <v>42139</v>
      </c>
      <c r="M582" s="1" t="s">
        <v>3176</v>
      </c>
      <c r="N582" t="s">
        <v>1727</v>
      </c>
      <c r="O582" t="s">
        <v>3149</v>
      </c>
    </row>
    <row r="583" spans="1:15" x14ac:dyDescent="0.3">
      <c r="A583" t="s">
        <v>1728</v>
      </c>
      <c r="B583">
        <v>5</v>
      </c>
      <c r="C583" s="1">
        <v>44586</v>
      </c>
      <c r="D583" t="s">
        <v>1729</v>
      </c>
      <c r="E583" t="s">
        <v>1730</v>
      </c>
      <c r="F583" t="s">
        <v>15</v>
      </c>
      <c r="G583" t="s">
        <v>158</v>
      </c>
      <c r="H583">
        <v>45</v>
      </c>
      <c r="I583">
        <v>1930</v>
      </c>
      <c r="J583" t="s">
        <v>24</v>
      </c>
      <c r="K583">
        <v>89</v>
      </c>
      <c r="L583" s="1">
        <v>11021</v>
      </c>
      <c r="M583" s="1" t="s">
        <v>3179</v>
      </c>
      <c r="N583" t="s">
        <v>1731</v>
      </c>
      <c r="O583" t="s">
        <v>3149</v>
      </c>
    </row>
    <row r="584" spans="1:15" x14ac:dyDescent="0.3">
      <c r="A584" t="s">
        <v>1732</v>
      </c>
      <c r="B584">
        <v>7</v>
      </c>
      <c r="C584" s="1">
        <v>43484</v>
      </c>
      <c r="D584" t="s">
        <v>1733</v>
      </c>
      <c r="E584" t="s">
        <v>1734</v>
      </c>
      <c r="F584" t="s">
        <v>15</v>
      </c>
      <c r="G584" t="s">
        <v>143</v>
      </c>
      <c r="H584">
        <v>106</v>
      </c>
      <c r="I584">
        <v>2016</v>
      </c>
      <c r="J584" t="s">
        <v>1735</v>
      </c>
      <c r="K584">
        <v>99734</v>
      </c>
      <c r="L584" s="1">
        <v>42393</v>
      </c>
      <c r="M584" s="1" t="s">
        <v>3176</v>
      </c>
      <c r="N584" t="s">
        <v>1736</v>
      </c>
      <c r="O584" t="s">
        <v>3149</v>
      </c>
    </row>
    <row r="585" spans="1:15" x14ac:dyDescent="0.3">
      <c r="A585" t="s">
        <v>1737</v>
      </c>
      <c r="B585">
        <v>7</v>
      </c>
      <c r="C585" s="1">
        <v>44638</v>
      </c>
      <c r="D585" t="s">
        <v>1738</v>
      </c>
      <c r="E585" t="s">
        <v>1739</v>
      </c>
      <c r="F585" t="s">
        <v>15</v>
      </c>
      <c r="G585" t="s">
        <v>61</v>
      </c>
      <c r="H585">
        <v>118</v>
      </c>
      <c r="I585">
        <v>2016</v>
      </c>
      <c r="J585" t="s">
        <v>261</v>
      </c>
      <c r="K585">
        <v>231397</v>
      </c>
      <c r="L585" s="1">
        <v>42392</v>
      </c>
      <c r="M585" s="1" t="s">
        <v>3165</v>
      </c>
      <c r="N585" t="s">
        <v>1740</v>
      </c>
      <c r="O585" t="s">
        <v>3149</v>
      </c>
    </row>
    <row r="586" spans="1:15" x14ac:dyDescent="0.3">
      <c r="A586" t="s">
        <v>1746</v>
      </c>
      <c r="B586">
        <v>4</v>
      </c>
      <c r="C586" s="1">
        <v>45167</v>
      </c>
      <c r="D586" t="s">
        <v>1747</v>
      </c>
      <c r="E586" t="s">
        <v>1748</v>
      </c>
      <c r="F586" t="s">
        <v>15</v>
      </c>
      <c r="G586" t="s">
        <v>198</v>
      </c>
      <c r="H586">
        <v>156</v>
      </c>
      <c r="I586">
        <v>2021</v>
      </c>
      <c r="J586" t="s">
        <v>1749</v>
      </c>
      <c r="K586">
        <v>93118</v>
      </c>
      <c r="L586" s="1">
        <v>44529</v>
      </c>
      <c r="M586" s="1" t="s">
        <v>3165</v>
      </c>
      <c r="N586" t="s">
        <v>272</v>
      </c>
      <c r="O586" t="s">
        <v>3149</v>
      </c>
    </row>
    <row r="587" spans="1:15" x14ac:dyDescent="0.3">
      <c r="A587" t="s">
        <v>1750</v>
      </c>
      <c r="B587">
        <v>7</v>
      </c>
      <c r="C587" s="1">
        <v>45277</v>
      </c>
      <c r="D587" t="s">
        <v>1751</v>
      </c>
      <c r="E587" t="s">
        <v>1752</v>
      </c>
      <c r="F587" t="s">
        <v>22</v>
      </c>
      <c r="G587" t="s">
        <v>61</v>
      </c>
      <c r="H587">
        <v>172</v>
      </c>
      <c r="I587">
        <v>2015</v>
      </c>
      <c r="J587" t="s">
        <v>409</v>
      </c>
      <c r="K587">
        <v>42902</v>
      </c>
      <c r="L587" s="1">
        <v>42131</v>
      </c>
      <c r="M587" s="1" t="s">
        <v>3171</v>
      </c>
      <c r="N587" t="s">
        <v>3222</v>
      </c>
      <c r="O587" t="s">
        <v>3149</v>
      </c>
    </row>
    <row r="588" spans="1:15" x14ac:dyDescent="0.3">
      <c r="A588" t="s">
        <v>1765</v>
      </c>
      <c r="B588">
        <v>5</v>
      </c>
      <c r="C588" s="1">
        <v>43829</v>
      </c>
      <c r="D588" t="s">
        <v>1766</v>
      </c>
      <c r="E588" t="s">
        <v>1767</v>
      </c>
      <c r="F588" t="s">
        <v>15</v>
      </c>
      <c r="G588" t="s">
        <v>417</v>
      </c>
      <c r="H588">
        <v>93</v>
      </c>
      <c r="I588">
        <v>2016</v>
      </c>
      <c r="J588" t="s">
        <v>159</v>
      </c>
      <c r="K588">
        <v>14750</v>
      </c>
      <c r="L588" s="1">
        <v>42635</v>
      </c>
      <c r="M588" s="1" t="s">
        <v>3171</v>
      </c>
      <c r="N588" t="s">
        <v>1768</v>
      </c>
      <c r="O588" t="s">
        <v>3149</v>
      </c>
    </row>
    <row r="589" spans="1:15" x14ac:dyDescent="0.3">
      <c r="A589" t="s">
        <v>1774</v>
      </c>
      <c r="B589">
        <v>7</v>
      </c>
      <c r="C589" s="1">
        <v>44553</v>
      </c>
      <c r="D589" t="s">
        <v>1775</v>
      </c>
      <c r="E589" t="s">
        <v>1776</v>
      </c>
      <c r="F589" t="s">
        <v>15</v>
      </c>
      <c r="G589" t="s">
        <v>198</v>
      </c>
      <c r="H589">
        <v>89</v>
      </c>
      <c r="I589">
        <v>2014</v>
      </c>
      <c r="J589" t="s">
        <v>96</v>
      </c>
      <c r="K589">
        <v>1775</v>
      </c>
      <c r="L589" s="1">
        <v>41746</v>
      </c>
      <c r="M589" s="1" t="s">
        <v>3165</v>
      </c>
      <c r="N589" t="s">
        <v>1777</v>
      </c>
    </row>
    <row r="590" spans="1:15" x14ac:dyDescent="0.3">
      <c r="A590" t="s">
        <v>1778</v>
      </c>
      <c r="B590">
        <v>8</v>
      </c>
      <c r="C590" s="1">
        <v>44742</v>
      </c>
      <c r="D590" t="s">
        <v>1779</v>
      </c>
      <c r="E590" t="s">
        <v>1780</v>
      </c>
      <c r="F590" t="s">
        <v>15</v>
      </c>
      <c r="G590" t="s">
        <v>16</v>
      </c>
      <c r="H590">
        <v>159</v>
      </c>
      <c r="I590">
        <v>2022</v>
      </c>
      <c r="J590" t="s">
        <v>74</v>
      </c>
      <c r="K590">
        <v>222854</v>
      </c>
      <c r="L590" s="1">
        <v>44706</v>
      </c>
      <c r="M590" s="1" t="s">
        <v>3165</v>
      </c>
      <c r="N590" t="s">
        <v>721</v>
      </c>
      <c r="O590" t="s">
        <v>3149</v>
      </c>
    </row>
    <row r="591" spans="1:15" x14ac:dyDescent="0.3">
      <c r="A591" t="s">
        <v>1781</v>
      </c>
      <c r="B591">
        <v>5</v>
      </c>
      <c r="C591" s="1">
        <v>45129</v>
      </c>
      <c r="D591" t="s">
        <v>1782</v>
      </c>
      <c r="E591" t="s">
        <v>1783</v>
      </c>
      <c r="F591" t="s">
        <v>15</v>
      </c>
      <c r="G591" t="s">
        <v>198</v>
      </c>
      <c r="H591">
        <v>130</v>
      </c>
      <c r="I591">
        <v>2016</v>
      </c>
      <c r="J591" t="s">
        <v>123</v>
      </c>
      <c r="K591">
        <v>70304</v>
      </c>
      <c r="L591" s="1">
        <v>42511</v>
      </c>
      <c r="M591" s="1" t="s">
        <v>3155</v>
      </c>
      <c r="N591" t="s">
        <v>179</v>
      </c>
      <c r="O591" t="s">
        <v>3149</v>
      </c>
    </row>
    <row r="592" spans="1:15" x14ac:dyDescent="0.3">
      <c r="A592" t="s">
        <v>1784</v>
      </c>
      <c r="B592">
        <v>6</v>
      </c>
      <c r="C592" s="1">
        <v>45144</v>
      </c>
      <c r="D592" t="s">
        <v>1785</v>
      </c>
      <c r="E592" t="s">
        <v>1786</v>
      </c>
      <c r="F592" t="s">
        <v>15</v>
      </c>
      <c r="G592" t="s">
        <v>95</v>
      </c>
      <c r="H592">
        <v>163</v>
      </c>
      <c r="I592">
        <v>2016</v>
      </c>
      <c r="J592" t="s">
        <v>1787</v>
      </c>
      <c r="K592">
        <v>45851</v>
      </c>
      <c r="L592" s="1">
        <v>42505</v>
      </c>
      <c r="M592" s="1" t="s">
        <v>3165</v>
      </c>
      <c r="N592" t="s">
        <v>1788</v>
      </c>
      <c r="O592" t="s">
        <v>3175</v>
      </c>
    </row>
    <row r="593" spans="1:15" x14ac:dyDescent="0.3">
      <c r="A593" t="s">
        <v>1797</v>
      </c>
      <c r="B593">
        <v>7</v>
      </c>
      <c r="C593" s="1">
        <v>44433</v>
      </c>
      <c r="D593" t="s">
        <v>1798</v>
      </c>
      <c r="E593" t="s">
        <v>1799</v>
      </c>
      <c r="F593" t="s">
        <v>15</v>
      </c>
      <c r="G593" t="s">
        <v>105</v>
      </c>
      <c r="H593">
        <v>135</v>
      </c>
      <c r="I593">
        <v>2015</v>
      </c>
      <c r="J593" t="s">
        <v>42</v>
      </c>
      <c r="K593">
        <v>65282</v>
      </c>
      <c r="L593" s="1">
        <v>42144</v>
      </c>
      <c r="M593" s="1" t="s">
        <v>3155</v>
      </c>
      <c r="N593" t="s">
        <v>118</v>
      </c>
      <c r="O593" t="s">
        <v>3149</v>
      </c>
    </row>
    <row r="594" spans="1:15" x14ac:dyDescent="0.3">
      <c r="A594" t="s">
        <v>1800</v>
      </c>
      <c r="B594">
        <v>8</v>
      </c>
      <c r="C594" s="1">
        <v>44613</v>
      </c>
      <c r="D594" t="s">
        <v>1801</v>
      </c>
      <c r="E594" t="s">
        <v>1802</v>
      </c>
      <c r="F594" t="s">
        <v>15</v>
      </c>
      <c r="G594" t="s">
        <v>524</v>
      </c>
      <c r="H594">
        <v>101</v>
      </c>
      <c r="I594">
        <v>2021</v>
      </c>
      <c r="J594" t="s">
        <v>1803</v>
      </c>
      <c r="K594">
        <v>1889</v>
      </c>
      <c r="L594" s="1">
        <v>44448</v>
      </c>
      <c r="M594" s="1" t="s">
        <v>3154</v>
      </c>
      <c r="N594" t="s">
        <v>1804</v>
      </c>
      <c r="O594" t="s">
        <v>3149</v>
      </c>
    </row>
    <row r="595" spans="1:15" x14ac:dyDescent="0.3">
      <c r="A595" t="s">
        <v>1808</v>
      </c>
      <c r="B595">
        <v>8</v>
      </c>
      <c r="C595" s="1">
        <v>44205</v>
      </c>
      <c r="D595" t="s">
        <v>1809</v>
      </c>
      <c r="E595" t="s">
        <v>1810</v>
      </c>
      <c r="F595" t="s">
        <v>15</v>
      </c>
      <c r="G595" t="s">
        <v>29</v>
      </c>
      <c r="H595">
        <v>128</v>
      </c>
      <c r="I595">
        <v>2016</v>
      </c>
      <c r="J595" t="s">
        <v>1811</v>
      </c>
      <c r="K595">
        <v>647749</v>
      </c>
      <c r="L595" s="1">
        <v>42613</v>
      </c>
      <c r="M595" s="1" t="s">
        <v>3165</v>
      </c>
      <c r="N595" t="s">
        <v>221</v>
      </c>
      <c r="O595" t="s">
        <v>3149</v>
      </c>
    </row>
    <row r="596" spans="1:15" x14ac:dyDescent="0.3">
      <c r="A596" t="s">
        <v>1812</v>
      </c>
      <c r="B596">
        <v>7</v>
      </c>
      <c r="C596" s="1">
        <v>45137</v>
      </c>
      <c r="D596" t="s">
        <v>1813</v>
      </c>
      <c r="E596" t="s">
        <v>1814</v>
      </c>
      <c r="F596" t="s">
        <v>15</v>
      </c>
      <c r="G596" t="s">
        <v>148</v>
      </c>
      <c r="H596">
        <v>116</v>
      </c>
      <c r="I596">
        <v>2016</v>
      </c>
      <c r="J596" t="s">
        <v>1744</v>
      </c>
      <c r="K596">
        <v>362626</v>
      </c>
      <c r="L596" s="1">
        <v>42500</v>
      </c>
      <c r="M596" s="1" t="s">
        <v>3165</v>
      </c>
      <c r="N596" t="s">
        <v>1815</v>
      </c>
      <c r="O596" t="s">
        <v>3149</v>
      </c>
    </row>
    <row r="597" spans="1:15" x14ac:dyDescent="0.3">
      <c r="A597" t="s">
        <v>1819</v>
      </c>
      <c r="B597">
        <v>7</v>
      </c>
      <c r="C597" s="1">
        <v>45195</v>
      </c>
      <c r="D597" t="s">
        <v>1820</v>
      </c>
      <c r="E597" t="s">
        <v>1821</v>
      </c>
      <c r="F597" t="s">
        <v>15</v>
      </c>
      <c r="G597" t="s">
        <v>198</v>
      </c>
      <c r="H597">
        <v>88</v>
      </c>
      <c r="I597">
        <v>2015</v>
      </c>
      <c r="J597" t="s">
        <v>1822</v>
      </c>
      <c r="K597">
        <v>35049</v>
      </c>
      <c r="L597" s="1">
        <v>42027</v>
      </c>
      <c r="M597" s="1" t="s">
        <v>3165</v>
      </c>
      <c r="N597" t="s">
        <v>729</v>
      </c>
      <c r="O597" t="s">
        <v>3149</v>
      </c>
    </row>
    <row r="598" spans="1:15" x14ac:dyDescent="0.3">
      <c r="A598" t="s">
        <v>1833</v>
      </c>
      <c r="B598">
        <v>5</v>
      </c>
      <c r="C598" s="1">
        <v>45173</v>
      </c>
      <c r="D598" t="s">
        <v>1834</v>
      </c>
      <c r="E598" t="s">
        <v>1835</v>
      </c>
      <c r="F598" t="s">
        <v>15</v>
      </c>
      <c r="G598" t="s">
        <v>158</v>
      </c>
      <c r="H598">
        <v>104</v>
      </c>
      <c r="I598">
        <v>2015</v>
      </c>
      <c r="J598" t="s">
        <v>1836</v>
      </c>
      <c r="K598">
        <v>14230</v>
      </c>
      <c r="L598" s="1">
        <v>42040</v>
      </c>
      <c r="M598" s="1" t="s">
        <v>3188</v>
      </c>
      <c r="N598" t="s">
        <v>1837</v>
      </c>
      <c r="O598" t="s">
        <v>3149</v>
      </c>
    </row>
    <row r="599" spans="1:15" x14ac:dyDescent="0.3">
      <c r="A599" t="s">
        <v>1847</v>
      </c>
      <c r="B599">
        <v>6</v>
      </c>
      <c r="C599" s="1">
        <v>45207</v>
      </c>
      <c r="D599" t="s">
        <v>1848</v>
      </c>
      <c r="E599" t="s">
        <v>1849</v>
      </c>
      <c r="F599" t="s">
        <v>15</v>
      </c>
      <c r="G599" t="s">
        <v>346</v>
      </c>
      <c r="H599">
        <v>120</v>
      </c>
      <c r="I599">
        <v>2017</v>
      </c>
      <c r="J599" t="s">
        <v>1850</v>
      </c>
      <c r="K599">
        <v>17455</v>
      </c>
      <c r="L599" s="1">
        <v>42987</v>
      </c>
      <c r="M599" s="1" t="s">
        <v>3202</v>
      </c>
      <c r="N599" t="s">
        <v>1851</v>
      </c>
      <c r="O599" t="s">
        <v>3175</v>
      </c>
    </row>
    <row r="600" spans="1:15" x14ac:dyDescent="0.3">
      <c r="A600" t="s">
        <v>1857</v>
      </c>
      <c r="B600">
        <v>7</v>
      </c>
      <c r="C600" s="1">
        <v>45219</v>
      </c>
      <c r="D600" t="s">
        <v>1858</v>
      </c>
      <c r="E600" t="s">
        <v>1859</v>
      </c>
      <c r="F600" t="s">
        <v>15</v>
      </c>
      <c r="G600" t="s">
        <v>41</v>
      </c>
      <c r="H600">
        <v>97</v>
      </c>
      <c r="I600">
        <v>2015</v>
      </c>
      <c r="J600" t="s">
        <v>24</v>
      </c>
      <c r="K600">
        <v>40491</v>
      </c>
      <c r="L600" s="1">
        <v>42143</v>
      </c>
      <c r="M600" s="1" t="s">
        <v>3206</v>
      </c>
      <c r="N600" t="s">
        <v>1860</v>
      </c>
      <c r="O600" t="s">
        <v>3175</v>
      </c>
    </row>
    <row r="601" spans="1:15" x14ac:dyDescent="0.3">
      <c r="A601" t="s">
        <v>1861</v>
      </c>
      <c r="B601">
        <v>7</v>
      </c>
      <c r="C601" s="1">
        <v>45122</v>
      </c>
      <c r="D601" t="s">
        <v>1862</v>
      </c>
      <c r="E601" t="s">
        <v>1863</v>
      </c>
      <c r="F601" t="s">
        <v>15</v>
      </c>
      <c r="G601" t="s">
        <v>334</v>
      </c>
      <c r="H601">
        <v>145</v>
      </c>
      <c r="I601">
        <v>2016</v>
      </c>
      <c r="J601" t="s">
        <v>1864</v>
      </c>
      <c r="K601">
        <v>167086</v>
      </c>
      <c r="L601" s="1">
        <v>42504</v>
      </c>
      <c r="M601" s="1" t="s">
        <v>3197</v>
      </c>
      <c r="N601" t="s">
        <v>594</v>
      </c>
      <c r="O601" t="s">
        <v>3149</v>
      </c>
    </row>
    <row r="602" spans="1:15" x14ac:dyDescent="0.3">
      <c r="A602" t="s">
        <v>1865</v>
      </c>
      <c r="B602">
        <v>6</v>
      </c>
      <c r="C602" s="1">
        <v>44205</v>
      </c>
      <c r="D602" t="s">
        <v>1866</v>
      </c>
      <c r="E602" t="s">
        <v>1867</v>
      </c>
      <c r="F602" t="s">
        <v>15</v>
      </c>
      <c r="G602" t="s">
        <v>61</v>
      </c>
      <c r="H602">
        <v>137</v>
      </c>
      <c r="I602">
        <v>2016</v>
      </c>
      <c r="J602" t="s">
        <v>24</v>
      </c>
      <c r="K602">
        <v>305633</v>
      </c>
      <c r="L602" s="1">
        <v>42392</v>
      </c>
      <c r="M602" s="1" t="s">
        <v>3165</v>
      </c>
      <c r="N602" t="s">
        <v>1868</v>
      </c>
      <c r="O602" t="s">
        <v>3149</v>
      </c>
    </row>
    <row r="603" spans="1:15" x14ac:dyDescent="0.3">
      <c r="A603" t="s">
        <v>1889</v>
      </c>
      <c r="B603">
        <v>4</v>
      </c>
      <c r="C603" s="1">
        <v>44428</v>
      </c>
      <c r="D603" t="s">
        <v>1890</v>
      </c>
      <c r="E603" t="s">
        <v>1891</v>
      </c>
      <c r="F603" t="s">
        <v>15</v>
      </c>
      <c r="G603" t="s">
        <v>198</v>
      </c>
      <c r="H603">
        <v>116</v>
      </c>
      <c r="I603">
        <v>2020</v>
      </c>
      <c r="J603" t="s">
        <v>24</v>
      </c>
      <c r="K603">
        <v>153</v>
      </c>
      <c r="L603" s="1">
        <v>44063</v>
      </c>
      <c r="M603" s="1" t="s">
        <v>3154</v>
      </c>
      <c r="N603" t="s">
        <v>1182</v>
      </c>
      <c r="O603" t="s">
        <v>3149</v>
      </c>
    </row>
    <row r="604" spans="1:15" x14ac:dyDescent="0.3">
      <c r="A604" t="s">
        <v>1907</v>
      </c>
      <c r="B604">
        <v>10</v>
      </c>
      <c r="C604" s="1">
        <v>43473</v>
      </c>
      <c r="D604" t="s">
        <v>1908</v>
      </c>
      <c r="E604" t="s">
        <v>1909</v>
      </c>
      <c r="F604" t="s">
        <v>216</v>
      </c>
      <c r="G604" t="s">
        <v>23</v>
      </c>
      <c r="H604">
        <f>32*49</f>
        <v>1568</v>
      </c>
      <c r="I604">
        <v>2015</v>
      </c>
      <c r="J604" t="s">
        <v>123</v>
      </c>
      <c r="K604">
        <v>411463</v>
      </c>
      <c r="L604" s="1">
        <v>42080</v>
      </c>
      <c r="M604" s="1" t="s">
        <v>3165</v>
      </c>
      <c r="N604" t="s">
        <v>25</v>
      </c>
      <c r="O604" t="s">
        <v>3149</v>
      </c>
    </row>
    <row r="605" spans="1:15" x14ac:dyDescent="0.3">
      <c r="A605" t="s">
        <v>1918</v>
      </c>
      <c r="B605">
        <v>6</v>
      </c>
      <c r="C605" s="1">
        <v>44703</v>
      </c>
      <c r="D605" t="s">
        <v>1919</v>
      </c>
      <c r="E605" t="s">
        <v>1920</v>
      </c>
      <c r="F605" t="s">
        <v>15</v>
      </c>
      <c r="G605" t="s">
        <v>95</v>
      </c>
      <c r="H605">
        <v>116</v>
      </c>
      <c r="I605">
        <v>2015</v>
      </c>
      <c r="J605" t="s">
        <v>541</v>
      </c>
      <c r="K605">
        <v>48814</v>
      </c>
      <c r="L605" s="1">
        <v>42285</v>
      </c>
      <c r="M605" s="1" t="s">
        <v>3180</v>
      </c>
      <c r="N605" t="s">
        <v>1921</v>
      </c>
      <c r="O605" t="s">
        <v>3149</v>
      </c>
    </row>
    <row r="606" spans="1:15" x14ac:dyDescent="0.3">
      <c r="A606" t="s">
        <v>1932</v>
      </c>
      <c r="B606">
        <v>7</v>
      </c>
      <c r="C606" s="1">
        <v>44394</v>
      </c>
      <c r="D606" t="s">
        <v>1933</v>
      </c>
      <c r="E606" t="s">
        <v>1934</v>
      </c>
      <c r="F606" t="s">
        <v>15</v>
      </c>
      <c r="G606" t="s">
        <v>95</v>
      </c>
      <c r="H606">
        <v>92</v>
      </c>
      <c r="I606">
        <v>2015</v>
      </c>
      <c r="J606" t="s">
        <v>159</v>
      </c>
      <c r="K606">
        <v>292534</v>
      </c>
      <c r="L606" s="1">
        <v>42027</v>
      </c>
      <c r="M606" s="1" t="s">
        <v>3165</v>
      </c>
      <c r="N606" t="s">
        <v>1935</v>
      </c>
      <c r="O606" t="s">
        <v>3149</v>
      </c>
    </row>
    <row r="607" spans="1:15" x14ac:dyDescent="0.3">
      <c r="A607" t="s">
        <v>1936</v>
      </c>
      <c r="B607">
        <v>6</v>
      </c>
      <c r="C607" s="1">
        <v>44891</v>
      </c>
      <c r="D607" t="s">
        <v>1937</v>
      </c>
      <c r="E607" t="s">
        <v>1938</v>
      </c>
      <c r="F607" t="s">
        <v>15</v>
      </c>
      <c r="G607" t="s">
        <v>67</v>
      </c>
      <c r="H607">
        <v>121</v>
      </c>
      <c r="I607">
        <v>2022</v>
      </c>
      <c r="J607" t="s">
        <v>1432</v>
      </c>
      <c r="K607">
        <v>76763</v>
      </c>
      <c r="L607" s="1">
        <v>44815</v>
      </c>
      <c r="M607" s="1" t="s">
        <v>3165</v>
      </c>
      <c r="N607" t="s">
        <v>1939</v>
      </c>
      <c r="O607" t="s">
        <v>3149</v>
      </c>
    </row>
    <row r="608" spans="1:15" x14ac:dyDescent="0.3">
      <c r="A608" t="s">
        <v>1953</v>
      </c>
      <c r="B608">
        <v>6</v>
      </c>
      <c r="C608" s="1">
        <v>45177</v>
      </c>
      <c r="D608" t="s">
        <v>1954</v>
      </c>
      <c r="E608" t="s">
        <v>1955</v>
      </c>
      <c r="F608" t="s">
        <v>15</v>
      </c>
      <c r="G608" t="s">
        <v>198</v>
      </c>
      <c r="H608">
        <v>99</v>
      </c>
      <c r="I608">
        <v>2016</v>
      </c>
      <c r="J608" t="s">
        <v>335</v>
      </c>
      <c r="K608">
        <v>33585</v>
      </c>
      <c r="L608" s="1">
        <v>42468</v>
      </c>
      <c r="M608" s="1" t="s">
        <v>3159</v>
      </c>
      <c r="N608" t="s">
        <v>457</v>
      </c>
      <c r="O608" t="s">
        <v>3149</v>
      </c>
    </row>
    <row r="609" spans="1:15" x14ac:dyDescent="0.3">
      <c r="A609" t="s">
        <v>1956</v>
      </c>
      <c r="B609">
        <v>7</v>
      </c>
      <c r="C609" s="1">
        <v>44637</v>
      </c>
      <c r="D609" t="s">
        <v>1957</v>
      </c>
      <c r="E609" t="s">
        <v>1958</v>
      </c>
      <c r="F609" t="s">
        <v>15</v>
      </c>
      <c r="G609" t="s">
        <v>41</v>
      </c>
      <c r="H609">
        <v>97</v>
      </c>
      <c r="I609">
        <v>2019</v>
      </c>
      <c r="J609" t="s">
        <v>1959</v>
      </c>
      <c r="K609">
        <v>99742</v>
      </c>
      <c r="L609" s="1">
        <v>43533</v>
      </c>
      <c r="M609" s="1" t="s">
        <v>3165</v>
      </c>
      <c r="N609" t="s">
        <v>1960</v>
      </c>
      <c r="O609" t="s">
        <v>3149</v>
      </c>
    </row>
    <row r="610" spans="1:15" x14ac:dyDescent="0.3">
      <c r="A610" t="s">
        <v>1961</v>
      </c>
      <c r="B610">
        <v>7</v>
      </c>
      <c r="C610" s="1">
        <v>44716</v>
      </c>
      <c r="D610" t="s">
        <v>1962</v>
      </c>
      <c r="E610" t="s">
        <v>1963</v>
      </c>
      <c r="F610" t="s">
        <v>551</v>
      </c>
      <c r="G610" t="s">
        <v>61</v>
      </c>
      <c r="H610">
        <v>66</v>
      </c>
      <c r="I610">
        <v>2015</v>
      </c>
      <c r="J610" t="s">
        <v>235</v>
      </c>
      <c r="K610">
        <v>6928</v>
      </c>
      <c r="L610" s="1">
        <v>42031</v>
      </c>
      <c r="M610" s="1" t="s">
        <v>3165</v>
      </c>
      <c r="N610" t="s">
        <v>552</v>
      </c>
      <c r="O610" t="s">
        <v>3149</v>
      </c>
    </row>
    <row r="611" spans="1:15" x14ac:dyDescent="0.3">
      <c r="A611" t="s">
        <v>1964</v>
      </c>
      <c r="B611">
        <v>9</v>
      </c>
      <c r="C611" s="1">
        <v>45288</v>
      </c>
      <c r="D611" t="s">
        <v>1965</v>
      </c>
      <c r="E611" t="s">
        <v>1966</v>
      </c>
      <c r="F611" t="s">
        <v>216</v>
      </c>
      <c r="G611" t="s">
        <v>927</v>
      </c>
      <c r="H611">
        <f>45*40</f>
        <v>1800</v>
      </c>
      <c r="I611">
        <v>2017</v>
      </c>
      <c r="J611" t="s">
        <v>123</v>
      </c>
      <c r="K611">
        <v>28998</v>
      </c>
      <c r="L611" s="1">
        <v>43008</v>
      </c>
      <c r="M611" s="1" t="s">
        <v>3180</v>
      </c>
      <c r="N611" t="s">
        <v>3220</v>
      </c>
      <c r="O611" t="s">
        <v>3149</v>
      </c>
    </row>
    <row r="612" spans="1:15" x14ac:dyDescent="0.3">
      <c r="A612" t="s">
        <v>1967</v>
      </c>
      <c r="B612">
        <v>6</v>
      </c>
      <c r="C612" s="1">
        <v>44925</v>
      </c>
      <c r="D612" t="s">
        <v>1968</v>
      </c>
      <c r="E612" t="s">
        <v>1969</v>
      </c>
      <c r="F612" t="s">
        <v>15</v>
      </c>
      <c r="G612" t="s">
        <v>1170</v>
      </c>
      <c r="H612">
        <v>83</v>
      </c>
      <c r="I612">
        <v>2018</v>
      </c>
      <c r="J612" t="s">
        <v>1970</v>
      </c>
      <c r="K612">
        <v>1124</v>
      </c>
      <c r="L612" s="1">
        <v>43120</v>
      </c>
      <c r="M612" s="1" t="s">
        <v>3171</v>
      </c>
      <c r="N612" t="s">
        <v>1971</v>
      </c>
      <c r="O612" t="s">
        <v>3175</v>
      </c>
    </row>
    <row r="613" spans="1:15" x14ac:dyDescent="0.3">
      <c r="A613" t="s">
        <v>1972</v>
      </c>
      <c r="B613">
        <v>7</v>
      </c>
      <c r="C613" s="1">
        <v>44993</v>
      </c>
      <c r="D613" s="3" t="s">
        <v>1973</v>
      </c>
      <c r="E613" t="s">
        <v>1974</v>
      </c>
      <c r="F613" t="s">
        <v>15</v>
      </c>
      <c r="G613" t="s">
        <v>16</v>
      </c>
      <c r="H613">
        <v>119</v>
      </c>
      <c r="I613">
        <v>2016</v>
      </c>
      <c r="J613" t="s">
        <v>261</v>
      </c>
      <c r="K613">
        <v>48656</v>
      </c>
      <c r="L613" s="1">
        <v>42651</v>
      </c>
      <c r="M613" s="1" t="s">
        <v>3165</v>
      </c>
      <c r="N613" t="s">
        <v>307</v>
      </c>
      <c r="O613" t="s">
        <v>3149</v>
      </c>
    </row>
    <row r="614" spans="1:15" x14ac:dyDescent="0.3">
      <c r="A614" t="s">
        <v>1997</v>
      </c>
      <c r="B614">
        <v>5</v>
      </c>
      <c r="C614" s="1">
        <v>44911</v>
      </c>
      <c r="D614" t="s">
        <v>1998</v>
      </c>
      <c r="E614" t="s">
        <v>1999</v>
      </c>
      <c r="F614" t="s">
        <v>15</v>
      </c>
      <c r="G614" t="s">
        <v>524</v>
      </c>
      <c r="H614">
        <v>96</v>
      </c>
      <c r="I614">
        <v>2016</v>
      </c>
      <c r="J614" t="s">
        <v>17</v>
      </c>
      <c r="K614">
        <v>80491</v>
      </c>
      <c r="L614" s="1">
        <v>42501</v>
      </c>
      <c r="M614" s="1" t="s">
        <v>3165</v>
      </c>
      <c r="N614" t="s">
        <v>977</v>
      </c>
      <c r="O614" t="s">
        <v>3149</v>
      </c>
    </row>
    <row r="615" spans="1:15" x14ac:dyDescent="0.3">
      <c r="A615" t="s">
        <v>2000</v>
      </c>
      <c r="B615">
        <v>9</v>
      </c>
      <c r="C615" s="1">
        <v>44246</v>
      </c>
      <c r="D615" t="s">
        <v>2001</v>
      </c>
      <c r="E615" t="s">
        <v>2002</v>
      </c>
      <c r="F615" t="s">
        <v>15</v>
      </c>
      <c r="G615" t="s">
        <v>56</v>
      </c>
      <c r="H615">
        <v>116</v>
      </c>
      <c r="I615">
        <v>2016</v>
      </c>
      <c r="J615" t="s">
        <v>117</v>
      </c>
      <c r="K615">
        <v>299149</v>
      </c>
      <c r="L615" s="1">
        <v>42615</v>
      </c>
      <c r="M615" s="1" t="s">
        <v>3165</v>
      </c>
      <c r="N615" t="s">
        <v>2003</v>
      </c>
      <c r="O615" t="s">
        <v>3149</v>
      </c>
    </row>
    <row r="616" spans="1:15" x14ac:dyDescent="0.3">
      <c r="A616" t="s">
        <v>2009</v>
      </c>
      <c r="B616">
        <v>9</v>
      </c>
      <c r="C616" s="1">
        <v>43480</v>
      </c>
      <c r="D616" t="s">
        <v>2010</v>
      </c>
      <c r="E616" t="s">
        <v>2011</v>
      </c>
      <c r="F616" t="s">
        <v>216</v>
      </c>
      <c r="G616" t="s">
        <v>1409</v>
      </c>
      <c r="H616">
        <v>51</v>
      </c>
      <c r="I616">
        <v>2016</v>
      </c>
      <c r="J616" t="s">
        <v>1492</v>
      </c>
      <c r="K616">
        <v>1301772</v>
      </c>
      <c r="L616" s="1">
        <v>42562</v>
      </c>
      <c r="M616" s="1" t="s">
        <v>3165</v>
      </c>
      <c r="N616" t="s">
        <v>3195</v>
      </c>
      <c r="O616" t="s">
        <v>3149</v>
      </c>
    </row>
    <row r="617" spans="1:15" x14ac:dyDescent="0.3">
      <c r="A617" t="s">
        <v>2025</v>
      </c>
      <c r="B617">
        <v>6</v>
      </c>
      <c r="C617" s="1">
        <v>44840</v>
      </c>
      <c r="D617" t="s">
        <v>2026</v>
      </c>
      <c r="E617" t="s">
        <v>2027</v>
      </c>
      <c r="F617" t="s">
        <v>15</v>
      </c>
      <c r="G617" t="s">
        <v>67</v>
      </c>
      <c r="H617">
        <v>97</v>
      </c>
      <c r="I617">
        <v>2016</v>
      </c>
      <c r="J617" t="s">
        <v>24</v>
      </c>
      <c r="K617">
        <v>24920</v>
      </c>
      <c r="L617" s="1">
        <v>42509</v>
      </c>
      <c r="M617" s="1" t="s">
        <v>3155</v>
      </c>
      <c r="N617" t="s">
        <v>968</v>
      </c>
      <c r="O617" t="s">
        <v>3149</v>
      </c>
    </row>
    <row r="618" spans="1:15" x14ac:dyDescent="0.3">
      <c r="A618" t="s">
        <v>2028</v>
      </c>
      <c r="B618">
        <v>9</v>
      </c>
      <c r="C618" s="1">
        <v>43941</v>
      </c>
      <c r="D618" t="s">
        <v>2029</v>
      </c>
      <c r="E618" t="s">
        <v>2030</v>
      </c>
      <c r="F618" t="s">
        <v>15</v>
      </c>
      <c r="G618" t="s">
        <v>79</v>
      </c>
      <c r="H618">
        <v>107</v>
      </c>
      <c r="I618">
        <v>2017</v>
      </c>
      <c r="J618" t="s">
        <v>220</v>
      </c>
      <c r="K618">
        <v>111180</v>
      </c>
      <c r="L618" s="1">
        <v>42986</v>
      </c>
      <c r="M618" s="1" t="s">
        <v>3171</v>
      </c>
      <c r="N618" t="s">
        <v>2031</v>
      </c>
      <c r="O618" t="s">
        <v>3149</v>
      </c>
    </row>
    <row r="619" spans="1:15" x14ac:dyDescent="0.3">
      <c r="A619" t="s">
        <v>2032</v>
      </c>
      <c r="B619">
        <v>6</v>
      </c>
      <c r="C619" s="1">
        <v>43821</v>
      </c>
      <c r="D619" t="s">
        <v>2033</v>
      </c>
      <c r="E619" t="s">
        <v>2034</v>
      </c>
      <c r="F619" t="s">
        <v>15</v>
      </c>
      <c r="G619" t="s">
        <v>2035</v>
      </c>
      <c r="H619">
        <v>94</v>
      </c>
      <c r="I619">
        <v>2017</v>
      </c>
      <c r="J619" t="s">
        <v>2036</v>
      </c>
      <c r="K619">
        <v>20699</v>
      </c>
      <c r="L619" s="1">
        <v>42894</v>
      </c>
      <c r="M619" s="1" t="s">
        <v>3165</v>
      </c>
      <c r="N619" t="s">
        <v>2037</v>
      </c>
      <c r="O619" t="s">
        <v>3149</v>
      </c>
    </row>
    <row r="620" spans="1:15" x14ac:dyDescent="0.3">
      <c r="A620" t="s">
        <v>2038</v>
      </c>
      <c r="B620">
        <v>8</v>
      </c>
      <c r="C620" s="1">
        <v>44635</v>
      </c>
      <c r="D620" t="s">
        <v>2039</v>
      </c>
      <c r="E620" t="s">
        <v>2040</v>
      </c>
      <c r="F620" t="s">
        <v>15</v>
      </c>
      <c r="G620" t="s">
        <v>61</v>
      </c>
      <c r="H620">
        <v>101</v>
      </c>
      <c r="I620">
        <v>2016</v>
      </c>
      <c r="J620" t="s">
        <v>1959</v>
      </c>
      <c r="K620">
        <v>139295</v>
      </c>
      <c r="L620" s="1">
        <v>42391</v>
      </c>
      <c r="M620" s="1" t="s">
        <v>3173</v>
      </c>
      <c r="N620" t="s">
        <v>1474</v>
      </c>
      <c r="O620" t="s">
        <v>3149</v>
      </c>
    </row>
    <row r="621" spans="1:15" x14ac:dyDescent="0.3">
      <c r="A621" t="s">
        <v>2047</v>
      </c>
      <c r="B621">
        <v>6</v>
      </c>
      <c r="C621" s="1">
        <v>45264</v>
      </c>
      <c r="D621" t="s">
        <v>2048</v>
      </c>
      <c r="E621" t="s">
        <v>2049</v>
      </c>
      <c r="F621" t="s">
        <v>15</v>
      </c>
      <c r="G621" t="s">
        <v>369</v>
      </c>
      <c r="H621">
        <v>96</v>
      </c>
      <c r="I621">
        <v>2019</v>
      </c>
      <c r="J621" t="s">
        <v>1826</v>
      </c>
      <c r="K621">
        <v>182811</v>
      </c>
      <c r="L621" s="1">
        <v>43777</v>
      </c>
      <c r="M621" s="1" t="s">
        <v>3159</v>
      </c>
      <c r="N621" t="s">
        <v>2050</v>
      </c>
      <c r="O621" t="s">
        <v>3149</v>
      </c>
    </row>
    <row r="622" spans="1:15" x14ac:dyDescent="0.3">
      <c r="A622" t="s">
        <v>2051</v>
      </c>
      <c r="B622">
        <v>7</v>
      </c>
      <c r="C622" s="1">
        <v>44950</v>
      </c>
      <c r="D622" t="s">
        <v>2052</v>
      </c>
      <c r="E622" t="s">
        <v>2053</v>
      </c>
      <c r="F622" t="s">
        <v>15</v>
      </c>
      <c r="G622" t="s">
        <v>346</v>
      </c>
      <c r="H622">
        <v>146</v>
      </c>
      <c r="I622">
        <v>2016</v>
      </c>
      <c r="J622" t="s">
        <v>1492</v>
      </c>
      <c r="K622">
        <v>107713</v>
      </c>
      <c r="L622" s="1">
        <v>42714</v>
      </c>
      <c r="M622" s="1" t="s">
        <v>3165</v>
      </c>
      <c r="N622" t="s">
        <v>2054</v>
      </c>
      <c r="O622" t="s">
        <v>3149</v>
      </c>
    </row>
    <row r="623" spans="1:15" x14ac:dyDescent="0.3">
      <c r="A623" t="s">
        <v>2062</v>
      </c>
      <c r="B623">
        <v>8</v>
      </c>
      <c r="C623" s="1">
        <v>44319</v>
      </c>
      <c r="D623" t="s">
        <v>2063</v>
      </c>
      <c r="E623" t="s">
        <v>2064</v>
      </c>
      <c r="F623" t="s">
        <v>15</v>
      </c>
      <c r="G623" t="s">
        <v>16</v>
      </c>
      <c r="H623">
        <v>102</v>
      </c>
      <c r="I623">
        <v>2017</v>
      </c>
      <c r="J623" t="s">
        <v>123</v>
      </c>
      <c r="K623">
        <v>136397</v>
      </c>
      <c r="L623" s="1">
        <v>42880</v>
      </c>
      <c r="M623" s="1" t="s">
        <v>3165</v>
      </c>
      <c r="N623" t="s">
        <v>2065</v>
      </c>
      <c r="O623" t="s">
        <v>3149</v>
      </c>
    </row>
    <row r="624" spans="1:15" x14ac:dyDescent="0.3">
      <c r="A624" t="s">
        <v>2066</v>
      </c>
      <c r="B624">
        <v>7</v>
      </c>
      <c r="C624" s="1">
        <v>45229</v>
      </c>
      <c r="D624" t="s">
        <v>2067</v>
      </c>
      <c r="E624" t="s">
        <v>2068</v>
      </c>
      <c r="F624" t="s">
        <v>15</v>
      </c>
      <c r="G624" t="s">
        <v>61</v>
      </c>
      <c r="H624">
        <v>127</v>
      </c>
      <c r="I624">
        <v>2016</v>
      </c>
      <c r="J624" t="s">
        <v>230</v>
      </c>
      <c r="K624">
        <v>249871</v>
      </c>
      <c r="L624" s="1">
        <v>42705</v>
      </c>
      <c r="M624" s="1" t="s">
        <v>3165</v>
      </c>
      <c r="N624" t="s">
        <v>2069</v>
      </c>
      <c r="O624" t="s">
        <v>3149</v>
      </c>
    </row>
    <row r="625" spans="1:15" x14ac:dyDescent="0.3">
      <c r="A625" t="s">
        <v>2073</v>
      </c>
      <c r="B625">
        <v>6</v>
      </c>
      <c r="C625" s="1">
        <v>44854</v>
      </c>
      <c r="D625" t="s">
        <v>2074</v>
      </c>
      <c r="E625" t="s">
        <v>2075</v>
      </c>
      <c r="F625" t="s">
        <v>216</v>
      </c>
      <c r="G625" t="s">
        <v>95</v>
      </c>
      <c r="H625">
        <v>270</v>
      </c>
      <c r="I625">
        <v>2015</v>
      </c>
      <c r="J625" t="s">
        <v>230</v>
      </c>
      <c r="K625">
        <v>4637</v>
      </c>
      <c r="L625" s="1">
        <v>42308</v>
      </c>
      <c r="M625" s="1" t="s">
        <v>3165</v>
      </c>
      <c r="N625" t="s">
        <v>3183</v>
      </c>
    </row>
    <row r="626" spans="1:15" x14ac:dyDescent="0.3">
      <c r="A626" t="s">
        <v>2080</v>
      </c>
      <c r="B626">
        <v>8</v>
      </c>
      <c r="C626" s="1">
        <v>44204</v>
      </c>
      <c r="D626" t="s">
        <v>2081</v>
      </c>
      <c r="E626" t="s">
        <v>2082</v>
      </c>
      <c r="F626" t="s">
        <v>15</v>
      </c>
      <c r="G626" t="s">
        <v>148</v>
      </c>
      <c r="H626">
        <v>94</v>
      </c>
      <c r="I626">
        <v>2017</v>
      </c>
      <c r="J626" t="s">
        <v>261</v>
      </c>
      <c r="K626">
        <v>319340</v>
      </c>
      <c r="L626" s="1">
        <v>42979</v>
      </c>
      <c r="M626" s="1" t="s">
        <v>3165</v>
      </c>
      <c r="N626" t="s">
        <v>902</v>
      </c>
      <c r="O626" t="s">
        <v>3175</v>
      </c>
    </row>
    <row r="627" spans="1:15" x14ac:dyDescent="0.3">
      <c r="A627" t="s">
        <v>2104</v>
      </c>
      <c r="B627">
        <v>7</v>
      </c>
      <c r="C627" s="1">
        <v>44149</v>
      </c>
      <c r="D627" t="s">
        <v>2105</v>
      </c>
      <c r="E627" t="s">
        <v>2106</v>
      </c>
      <c r="F627" t="s">
        <v>15</v>
      </c>
      <c r="G627" t="s">
        <v>61</v>
      </c>
      <c r="H627">
        <v>106</v>
      </c>
      <c r="I627">
        <v>2017</v>
      </c>
      <c r="J627" t="s">
        <v>2107</v>
      </c>
      <c r="K627">
        <v>722586</v>
      </c>
      <c r="L627" s="1">
        <v>42929</v>
      </c>
      <c r="M627" s="1" t="s">
        <v>3171</v>
      </c>
      <c r="N627" t="s">
        <v>756</v>
      </c>
      <c r="O627" t="s">
        <v>3149</v>
      </c>
    </row>
    <row r="628" spans="1:15" x14ac:dyDescent="0.3">
      <c r="A628" t="s">
        <v>2108</v>
      </c>
      <c r="B628">
        <v>10</v>
      </c>
      <c r="C628" s="1">
        <v>43958</v>
      </c>
      <c r="D628" t="s">
        <v>2109</v>
      </c>
      <c r="E628" t="s">
        <v>2110</v>
      </c>
      <c r="F628" t="s">
        <v>15</v>
      </c>
      <c r="G628" t="s">
        <v>334</v>
      </c>
      <c r="H628">
        <v>115</v>
      </c>
      <c r="I628">
        <v>2017</v>
      </c>
      <c r="J628" t="s">
        <v>1822</v>
      </c>
      <c r="K628">
        <v>544282</v>
      </c>
      <c r="L628" s="1">
        <v>42982</v>
      </c>
      <c r="M628" s="1" t="s">
        <v>3165</v>
      </c>
      <c r="N628" t="s">
        <v>496</v>
      </c>
      <c r="O628" t="s">
        <v>3149</v>
      </c>
    </row>
    <row r="629" spans="1:15" x14ac:dyDescent="0.3">
      <c r="A629" t="s">
        <v>2111</v>
      </c>
      <c r="B629">
        <v>6</v>
      </c>
      <c r="C629" s="1">
        <v>45069</v>
      </c>
      <c r="D629" t="s">
        <v>2112</v>
      </c>
      <c r="E629" t="s">
        <v>2113</v>
      </c>
      <c r="F629" t="s">
        <v>15</v>
      </c>
      <c r="G629" t="s">
        <v>79</v>
      </c>
      <c r="H629">
        <v>102</v>
      </c>
      <c r="I629">
        <v>2016</v>
      </c>
      <c r="J629" t="s">
        <v>261</v>
      </c>
      <c r="K629">
        <v>3786</v>
      </c>
      <c r="L629" s="1">
        <v>42555</v>
      </c>
      <c r="M629" s="1" t="s">
        <v>3185</v>
      </c>
      <c r="N629" t="s">
        <v>2114</v>
      </c>
      <c r="O629" t="s">
        <v>3149</v>
      </c>
    </row>
    <row r="630" spans="1:15" ht="15" customHeight="1" x14ac:dyDescent="0.3">
      <c r="A630" t="s">
        <v>2119</v>
      </c>
      <c r="B630">
        <v>7</v>
      </c>
      <c r="C630" s="1">
        <v>44645</v>
      </c>
      <c r="D630" t="s">
        <v>2120</v>
      </c>
      <c r="E630" t="s">
        <v>2121</v>
      </c>
      <c r="F630" t="s">
        <v>15</v>
      </c>
      <c r="G630" t="s">
        <v>56</v>
      </c>
      <c r="H630">
        <v>119</v>
      </c>
      <c r="I630">
        <v>2018</v>
      </c>
      <c r="J630" t="s">
        <v>1320</v>
      </c>
      <c r="K630">
        <v>216767</v>
      </c>
      <c r="L630" s="1">
        <v>43342</v>
      </c>
      <c r="M630" s="1" t="s">
        <v>3176</v>
      </c>
      <c r="N630" t="s">
        <v>1727</v>
      </c>
      <c r="O630" t="s">
        <v>3149</v>
      </c>
    </row>
    <row r="631" spans="1:15" x14ac:dyDescent="0.3">
      <c r="A631" t="s">
        <v>2122</v>
      </c>
      <c r="B631">
        <v>9</v>
      </c>
      <c r="C631" s="1">
        <v>43571</v>
      </c>
      <c r="D631" t="s">
        <v>2123</v>
      </c>
      <c r="E631" t="s">
        <v>2124</v>
      </c>
      <c r="F631" t="s">
        <v>15</v>
      </c>
      <c r="G631" t="s">
        <v>79</v>
      </c>
      <c r="H631">
        <v>133</v>
      </c>
      <c r="I631">
        <v>2017</v>
      </c>
      <c r="J631" t="s">
        <v>2125</v>
      </c>
      <c r="K631">
        <v>83533</v>
      </c>
      <c r="L631" s="1">
        <v>42985</v>
      </c>
      <c r="M631" s="1" t="s">
        <v>3165</v>
      </c>
      <c r="N631" t="s">
        <v>2126</v>
      </c>
      <c r="O631" t="s">
        <v>3149</v>
      </c>
    </row>
    <row r="632" spans="1:15" x14ac:dyDescent="0.3">
      <c r="A632" t="s">
        <v>2127</v>
      </c>
      <c r="B632">
        <v>6</v>
      </c>
      <c r="C632" s="1">
        <v>45261</v>
      </c>
      <c r="D632" t="s">
        <v>2128</v>
      </c>
      <c r="E632" t="s">
        <v>2129</v>
      </c>
      <c r="F632" t="s">
        <v>15</v>
      </c>
      <c r="G632" t="s">
        <v>524</v>
      </c>
      <c r="H632">
        <v>121</v>
      </c>
      <c r="I632">
        <v>2017</v>
      </c>
      <c r="J632" t="s">
        <v>153</v>
      </c>
      <c r="K632">
        <v>245162</v>
      </c>
      <c r="L632" s="1">
        <v>42983</v>
      </c>
      <c r="M632" s="1" t="s">
        <v>3165</v>
      </c>
      <c r="N632" t="s">
        <v>760</v>
      </c>
      <c r="O632" t="s">
        <v>3149</v>
      </c>
    </row>
    <row r="633" spans="1:15" x14ac:dyDescent="0.3">
      <c r="A633" t="s">
        <v>2130</v>
      </c>
      <c r="B633">
        <v>9</v>
      </c>
      <c r="C633" s="1">
        <v>43422</v>
      </c>
      <c r="D633" t="s">
        <v>2131</v>
      </c>
      <c r="E633" t="s">
        <v>2132</v>
      </c>
      <c r="F633" t="s">
        <v>15</v>
      </c>
      <c r="G633" t="s">
        <v>105</v>
      </c>
      <c r="H633">
        <v>96</v>
      </c>
      <c r="I633">
        <v>2016</v>
      </c>
      <c r="J633" t="s">
        <v>409</v>
      </c>
      <c r="K633">
        <v>11561</v>
      </c>
      <c r="L633" s="1">
        <v>42643</v>
      </c>
      <c r="M633" s="1" t="s">
        <v>3165</v>
      </c>
      <c r="N633" t="s">
        <v>2133</v>
      </c>
      <c r="O633" t="s">
        <v>3175</v>
      </c>
    </row>
    <row r="634" spans="1:15" x14ac:dyDescent="0.3">
      <c r="A634" t="s">
        <v>2134</v>
      </c>
      <c r="B634">
        <v>7</v>
      </c>
      <c r="C634" s="1">
        <v>45208</v>
      </c>
      <c r="D634" t="s">
        <v>2135</v>
      </c>
      <c r="E634" t="s">
        <v>2136</v>
      </c>
      <c r="F634" t="s">
        <v>15</v>
      </c>
      <c r="G634" t="s">
        <v>95</v>
      </c>
      <c r="H634">
        <v>98</v>
      </c>
      <c r="I634">
        <v>2016</v>
      </c>
      <c r="J634" t="s">
        <v>230</v>
      </c>
      <c r="K634">
        <v>3297</v>
      </c>
      <c r="L634" s="1">
        <v>42623</v>
      </c>
      <c r="M634" s="1" t="s">
        <v>3166</v>
      </c>
      <c r="N634" t="s">
        <v>2137</v>
      </c>
      <c r="O634" t="s">
        <v>3149</v>
      </c>
    </row>
    <row r="635" spans="1:15" x14ac:dyDescent="0.3">
      <c r="A635" t="s">
        <v>2138</v>
      </c>
      <c r="B635">
        <v>9</v>
      </c>
      <c r="C635" s="1">
        <v>44253</v>
      </c>
      <c r="D635" t="s">
        <v>2139</v>
      </c>
      <c r="E635" t="s">
        <v>2140</v>
      </c>
      <c r="F635" t="s">
        <v>551</v>
      </c>
      <c r="G635" t="s">
        <v>187</v>
      </c>
      <c r="H635">
        <v>60</v>
      </c>
      <c r="I635">
        <v>2016</v>
      </c>
      <c r="J635" t="s">
        <v>1659</v>
      </c>
      <c r="K635">
        <v>16249</v>
      </c>
      <c r="L635" s="1">
        <v>42524</v>
      </c>
      <c r="M635" s="1" t="s">
        <v>3165</v>
      </c>
      <c r="N635" t="s">
        <v>1660</v>
      </c>
      <c r="O635" t="s">
        <v>3149</v>
      </c>
    </row>
    <row r="636" spans="1:15" x14ac:dyDescent="0.3">
      <c r="A636" t="s">
        <v>2144</v>
      </c>
      <c r="B636">
        <v>8</v>
      </c>
      <c r="C636" s="1">
        <v>43932</v>
      </c>
      <c r="D636" t="s">
        <v>2145</v>
      </c>
      <c r="E636" t="s">
        <v>2146</v>
      </c>
      <c r="F636" t="s">
        <v>15</v>
      </c>
      <c r="G636" t="s">
        <v>61</v>
      </c>
      <c r="H636">
        <v>56</v>
      </c>
      <c r="I636">
        <v>2015</v>
      </c>
      <c r="J636" t="s">
        <v>96</v>
      </c>
      <c r="K636">
        <v>7</v>
      </c>
      <c r="L636" s="1">
        <v>42086</v>
      </c>
      <c r="M636" s="1" t="s">
        <v>3154</v>
      </c>
      <c r="N636" t="s">
        <v>2147</v>
      </c>
      <c r="O636" t="s">
        <v>3149</v>
      </c>
    </row>
    <row r="637" spans="1:15" x14ac:dyDescent="0.3">
      <c r="A637" t="s">
        <v>2148</v>
      </c>
      <c r="B637">
        <v>7</v>
      </c>
      <c r="C637" s="1">
        <v>44813</v>
      </c>
      <c r="D637" t="s">
        <v>2149</v>
      </c>
      <c r="E637" t="s">
        <v>2150</v>
      </c>
      <c r="F637" t="s">
        <v>15</v>
      </c>
      <c r="G637" t="s">
        <v>16</v>
      </c>
      <c r="H637">
        <v>118</v>
      </c>
      <c r="I637">
        <v>2016</v>
      </c>
      <c r="J637" t="s">
        <v>17</v>
      </c>
      <c r="K637">
        <v>87581</v>
      </c>
      <c r="L637" s="1">
        <v>42506</v>
      </c>
      <c r="M637" s="1" t="s">
        <v>3165</v>
      </c>
      <c r="N637" t="s">
        <v>1082</v>
      </c>
      <c r="O637" t="s">
        <v>3149</v>
      </c>
    </row>
    <row r="638" spans="1:15" x14ac:dyDescent="0.3">
      <c r="A638" t="s">
        <v>2151</v>
      </c>
      <c r="B638">
        <v>7</v>
      </c>
      <c r="C638" s="1">
        <v>45149</v>
      </c>
      <c r="D638" t="s">
        <v>2152</v>
      </c>
      <c r="E638" t="s">
        <v>2153</v>
      </c>
      <c r="F638" t="s">
        <v>15</v>
      </c>
      <c r="G638" t="s">
        <v>116</v>
      </c>
      <c r="H638">
        <v>92</v>
      </c>
      <c r="I638">
        <v>2015</v>
      </c>
      <c r="J638" t="s">
        <v>2154</v>
      </c>
      <c r="K638">
        <v>9553</v>
      </c>
      <c r="L638" s="1">
        <v>42354</v>
      </c>
      <c r="M638" s="1" t="s">
        <v>3166</v>
      </c>
      <c r="N638" t="s">
        <v>2155</v>
      </c>
      <c r="O638" t="s">
        <v>3175</v>
      </c>
    </row>
    <row r="639" spans="1:15" x14ac:dyDescent="0.3">
      <c r="A639" t="s">
        <v>2172</v>
      </c>
      <c r="B639">
        <v>8</v>
      </c>
      <c r="C639" s="1">
        <v>44324</v>
      </c>
      <c r="D639" t="s">
        <v>2173</v>
      </c>
      <c r="E639" t="s">
        <v>2174</v>
      </c>
      <c r="F639" t="s">
        <v>15</v>
      </c>
      <c r="G639" t="s">
        <v>84</v>
      </c>
      <c r="H639">
        <v>120</v>
      </c>
      <c r="I639">
        <v>2019</v>
      </c>
      <c r="J639" t="s">
        <v>556</v>
      </c>
      <c r="K639">
        <v>145767</v>
      </c>
      <c r="L639" s="1">
        <v>43714</v>
      </c>
      <c r="M639" s="1" t="s">
        <v>3165</v>
      </c>
      <c r="N639" t="s">
        <v>2175</v>
      </c>
      <c r="O639" t="s">
        <v>3149</v>
      </c>
    </row>
    <row r="640" spans="1:15" x14ac:dyDescent="0.3">
      <c r="A640" t="s">
        <v>2187</v>
      </c>
      <c r="B640">
        <v>6</v>
      </c>
      <c r="C640" s="1">
        <v>44876</v>
      </c>
      <c r="D640" t="s">
        <v>2188</v>
      </c>
      <c r="E640" t="s">
        <v>2189</v>
      </c>
      <c r="F640" t="s">
        <v>15</v>
      </c>
      <c r="G640" t="s">
        <v>158</v>
      </c>
      <c r="H640">
        <v>111</v>
      </c>
      <c r="I640">
        <v>2018</v>
      </c>
      <c r="J640" t="s">
        <v>1850</v>
      </c>
      <c r="K640">
        <v>26074</v>
      </c>
      <c r="L640" s="1">
        <v>43120</v>
      </c>
      <c r="M640" s="1" t="s">
        <v>3165</v>
      </c>
      <c r="N640" t="s">
        <v>2190</v>
      </c>
      <c r="O640" t="s">
        <v>3149</v>
      </c>
    </row>
    <row r="641" spans="1:15" x14ac:dyDescent="0.3">
      <c r="A641" t="s">
        <v>2191</v>
      </c>
      <c r="B641">
        <v>5</v>
      </c>
      <c r="C641" s="1">
        <v>44843</v>
      </c>
      <c r="D641" t="s">
        <v>2192</v>
      </c>
      <c r="E641" t="s">
        <v>2193</v>
      </c>
      <c r="F641" t="s">
        <v>15</v>
      </c>
      <c r="G641" t="s">
        <v>524</v>
      </c>
      <c r="H641">
        <v>96</v>
      </c>
      <c r="I641">
        <v>2016</v>
      </c>
      <c r="J641" t="s">
        <v>96</v>
      </c>
      <c r="K641">
        <v>231</v>
      </c>
      <c r="L641" s="1">
        <v>42414</v>
      </c>
      <c r="M641" s="1" t="s">
        <v>3209</v>
      </c>
      <c r="N641" t="s">
        <v>2194</v>
      </c>
      <c r="O641" t="s">
        <v>3149</v>
      </c>
    </row>
    <row r="642" spans="1:15" x14ac:dyDescent="0.3">
      <c r="A642" t="s">
        <v>2199</v>
      </c>
      <c r="B642">
        <v>8</v>
      </c>
      <c r="C642" s="1">
        <v>44455</v>
      </c>
      <c r="D642" t="s">
        <v>2200</v>
      </c>
      <c r="E642" t="s">
        <v>2201</v>
      </c>
      <c r="F642" t="s">
        <v>47</v>
      </c>
      <c r="G642" t="s">
        <v>1170</v>
      </c>
      <c r="H642">
        <v>11</v>
      </c>
      <c r="I642">
        <v>1940</v>
      </c>
      <c r="J642" t="s">
        <v>48</v>
      </c>
      <c r="K642">
        <v>28</v>
      </c>
      <c r="L642" s="1">
        <v>14976</v>
      </c>
      <c r="M642" s="1" t="s">
        <v>3171</v>
      </c>
      <c r="N642" t="s">
        <v>2202</v>
      </c>
      <c r="O642" t="s">
        <v>3175</v>
      </c>
    </row>
    <row r="643" spans="1:15" x14ac:dyDescent="0.3">
      <c r="A643" t="s">
        <v>2203</v>
      </c>
      <c r="B643">
        <v>7</v>
      </c>
      <c r="C643" s="1">
        <v>45270</v>
      </c>
      <c r="D643" t="s">
        <v>2204</v>
      </c>
      <c r="E643" t="s">
        <v>2205</v>
      </c>
      <c r="F643" t="s">
        <v>15</v>
      </c>
      <c r="G643" t="s">
        <v>61</v>
      </c>
      <c r="H643">
        <v>206</v>
      </c>
      <c r="I643">
        <v>2023</v>
      </c>
      <c r="J643" t="s">
        <v>2206</v>
      </c>
      <c r="K643">
        <v>142370</v>
      </c>
      <c r="L643" s="1">
        <v>45066</v>
      </c>
      <c r="M643" s="1" t="s">
        <v>3165</v>
      </c>
      <c r="N643" t="s">
        <v>371</v>
      </c>
      <c r="O643" t="s">
        <v>3149</v>
      </c>
    </row>
    <row r="644" spans="1:15" x14ac:dyDescent="0.3">
      <c r="A644" t="s">
        <v>2207</v>
      </c>
      <c r="B644">
        <v>7</v>
      </c>
      <c r="C644" s="1">
        <v>43582</v>
      </c>
      <c r="D644" t="s">
        <v>2208</v>
      </c>
      <c r="E644" t="s">
        <v>2209</v>
      </c>
      <c r="F644" t="s">
        <v>15</v>
      </c>
      <c r="G644" t="s">
        <v>67</v>
      </c>
      <c r="H644">
        <v>107</v>
      </c>
      <c r="I644">
        <v>2017</v>
      </c>
      <c r="J644" t="s">
        <v>24</v>
      </c>
      <c r="K644">
        <v>53960</v>
      </c>
      <c r="L644" s="1">
        <v>42757</v>
      </c>
      <c r="M644" s="1" t="s">
        <v>3165</v>
      </c>
      <c r="N644" t="s">
        <v>2210</v>
      </c>
      <c r="O644" t="s">
        <v>3149</v>
      </c>
    </row>
    <row r="645" spans="1:15" x14ac:dyDescent="0.3">
      <c r="A645" t="s">
        <v>2214</v>
      </c>
      <c r="B645">
        <v>6</v>
      </c>
      <c r="C645" s="1">
        <v>44735</v>
      </c>
      <c r="D645" t="s">
        <v>2215</v>
      </c>
      <c r="E645" t="s">
        <v>2216</v>
      </c>
      <c r="F645" t="s">
        <v>47</v>
      </c>
      <c r="G645" t="s">
        <v>79</v>
      </c>
      <c r="H645">
        <v>15</v>
      </c>
      <c r="I645">
        <v>2016</v>
      </c>
      <c r="J645" t="s">
        <v>1649</v>
      </c>
      <c r="K645">
        <v>48</v>
      </c>
      <c r="L645" s="1">
        <v>42421</v>
      </c>
      <c r="M645" s="1" t="s">
        <v>3154</v>
      </c>
      <c r="N645" t="s">
        <v>1650</v>
      </c>
      <c r="O645" t="s">
        <v>3149</v>
      </c>
    </row>
    <row r="646" spans="1:15" x14ac:dyDescent="0.3">
      <c r="A646" t="s">
        <v>2217</v>
      </c>
      <c r="B646">
        <v>7</v>
      </c>
      <c r="C646" s="1">
        <v>44920</v>
      </c>
      <c r="D646" t="s">
        <v>2218</v>
      </c>
      <c r="E646" t="s">
        <v>2219</v>
      </c>
      <c r="F646" t="s">
        <v>15</v>
      </c>
      <c r="G646" t="s">
        <v>56</v>
      </c>
      <c r="H646">
        <v>119</v>
      </c>
      <c r="I646">
        <v>2017</v>
      </c>
      <c r="J646" t="s">
        <v>2220</v>
      </c>
      <c r="K646">
        <v>237559</v>
      </c>
      <c r="L646" s="1">
        <v>42986</v>
      </c>
      <c r="M646" s="1" t="s">
        <v>3165</v>
      </c>
      <c r="N646" t="s">
        <v>1665</v>
      </c>
      <c r="O646" t="s">
        <v>3149</v>
      </c>
    </row>
    <row r="647" spans="1:15" x14ac:dyDescent="0.3">
      <c r="A647" t="s">
        <v>2221</v>
      </c>
      <c r="B647">
        <v>6</v>
      </c>
      <c r="C647" s="1">
        <v>45108</v>
      </c>
      <c r="D647" t="s">
        <v>2222</v>
      </c>
      <c r="E647" t="s">
        <v>2223</v>
      </c>
      <c r="F647" t="s">
        <v>15</v>
      </c>
      <c r="G647" t="s">
        <v>16</v>
      </c>
      <c r="H647">
        <v>123</v>
      </c>
      <c r="I647">
        <v>2017</v>
      </c>
      <c r="J647" t="s">
        <v>1028</v>
      </c>
      <c r="K647">
        <v>441695</v>
      </c>
      <c r="L647" s="1">
        <v>42978</v>
      </c>
      <c r="M647" s="1" t="s">
        <v>3165</v>
      </c>
      <c r="N647" t="s">
        <v>2008</v>
      </c>
      <c r="O647" t="s">
        <v>3149</v>
      </c>
    </row>
    <row r="648" spans="1:15" x14ac:dyDescent="0.3">
      <c r="A648" t="s">
        <v>2228</v>
      </c>
      <c r="B648">
        <v>7</v>
      </c>
      <c r="C648" s="1">
        <v>44631</v>
      </c>
      <c r="D648" t="s">
        <v>2229</v>
      </c>
      <c r="E648" t="s">
        <v>2230</v>
      </c>
      <c r="F648" t="s">
        <v>15</v>
      </c>
      <c r="G648" t="s">
        <v>116</v>
      </c>
      <c r="H648">
        <v>93</v>
      </c>
      <c r="I648">
        <v>2017</v>
      </c>
      <c r="J648" t="s">
        <v>952</v>
      </c>
      <c r="K648">
        <v>60906</v>
      </c>
      <c r="L648" s="1">
        <v>42879</v>
      </c>
      <c r="M648" s="1" t="s">
        <v>3165</v>
      </c>
      <c r="N648" t="s">
        <v>796</v>
      </c>
      <c r="O648" t="s">
        <v>3175</v>
      </c>
    </row>
    <row r="649" spans="1:15" x14ac:dyDescent="0.3">
      <c r="A649" t="s">
        <v>2231</v>
      </c>
      <c r="B649">
        <v>6</v>
      </c>
      <c r="C649" s="1">
        <v>45256</v>
      </c>
      <c r="D649" t="s">
        <v>2232</v>
      </c>
      <c r="E649" t="s">
        <v>2233</v>
      </c>
      <c r="F649" t="s">
        <v>15</v>
      </c>
      <c r="G649" t="s">
        <v>16</v>
      </c>
      <c r="H649">
        <v>152</v>
      </c>
      <c r="I649">
        <v>2019</v>
      </c>
      <c r="J649" t="s">
        <v>2234</v>
      </c>
      <c r="K649">
        <v>214161</v>
      </c>
      <c r="L649" s="1">
        <v>43768</v>
      </c>
      <c r="M649" s="1" t="s">
        <v>3165</v>
      </c>
      <c r="N649" t="s">
        <v>2235</v>
      </c>
      <c r="O649" t="s">
        <v>3149</v>
      </c>
    </row>
    <row r="650" spans="1:15" x14ac:dyDescent="0.3">
      <c r="A650" t="s">
        <v>2236</v>
      </c>
      <c r="B650">
        <v>7</v>
      </c>
      <c r="C650" s="1">
        <v>44814</v>
      </c>
      <c r="D650" t="s">
        <v>2237</v>
      </c>
      <c r="E650" t="s">
        <v>2238</v>
      </c>
      <c r="F650" t="s">
        <v>15</v>
      </c>
      <c r="G650" t="s">
        <v>56</v>
      </c>
      <c r="H650">
        <v>116</v>
      </c>
      <c r="I650">
        <v>2017</v>
      </c>
      <c r="J650" t="s">
        <v>2239</v>
      </c>
      <c r="K650">
        <v>29470</v>
      </c>
      <c r="L650" s="1">
        <v>42776</v>
      </c>
      <c r="M650" s="1" t="s">
        <v>3192</v>
      </c>
      <c r="N650" t="s">
        <v>2240</v>
      </c>
      <c r="O650" t="s">
        <v>3175</v>
      </c>
    </row>
    <row r="651" spans="1:15" x14ac:dyDescent="0.3">
      <c r="A651" t="s">
        <v>2241</v>
      </c>
      <c r="B651">
        <v>8</v>
      </c>
      <c r="C651" s="1">
        <v>44636</v>
      </c>
      <c r="D651" t="s">
        <v>2242</v>
      </c>
      <c r="E651" t="s">
        <v>2243</v>
      </c>
      <c r="F651" t="s">
        <v>15</v>
      </c>
      <c r="G651" t="s">
        <v>16</v>
      </c>
      <c r="H651">
        <v>85</v>
      </c>
      <c r="I651">
        <v>2018</v>
      </c>
      <c r="J651" t="s">
        <v>261</v>
      </c>
      <c r="K651">
        <v>75773</v>
      </c>
      <c r="L651" s="1">
        <v>43352</v>
      </c>
      <c r="M651" s="1" t="s">
        <v>3165</v>
      </c>
      <c r="N651" t="s">
        <v>1289</v>
      </c>
      <c r="O651" t="s">
        <v>3149</v>
      </c>
    </row>
    <row r="652" spans="1:15" x14ac:dyDescent="0.3">
      <c r="A652" t="s">
        <v>2250</v>
      </c>
      <c r="B652">
        <v>8</v>
      </c>
      <c r="C652" s="1">
        <v>44598</v>
      </c>
      <c r="D652" t="s">
        <v>2251</v>
      </c>
      <c r="E652" t="s">
        <v>2252</v>
      </c>
      <c r="F652" t="s">
        <v>15</v>
      </c>
      <c r="G652" t="s">
        <v>41</v>
      </c>
      <c r="H652">
        <v>111</v>
      </c>
      <c r="I652">
        <v>2017</v>
      </c>
      <c r="J652" t="s">
        <v>24</v>
      </c>
      <c r="K652">
        <v>124601</v>
      </c>
      <c r="L652" s="1">
        <v>42877</v>
      </c>
      <c r="M652" s="1" t="s">
        <v>3165</v>
      </c>
      <c r="N652" t="s">
        <v>729</v>
      </c>
      <c r="O652" t="s">
        <v>3149</v>
      </c>
    </row>
    <row r="653" spans="1:15" x14ac:dyDescent="0.3">
      <c r="A653" t="s">
        <v>2253</v>
      </c>
      <c r="B653">
        <v>6</v>
      </c>
      <c r="C653" s="1">
        <v>45133</v>
      </c>
      <c r="D653" t="s">
        <v>2254</v>
      </c>
      <c r="E653" t="s">
        <v>2255</v>
      </c>
      <c r="F653" t="s">
        <v>15</v>
      </c>
      <c r="G653" t="s">
        <v>1008</v>
      </c>
      <c r="H653">
        <v>90</v>
      </c>
      <c r="I653">
        <v>2017</v>
      </c>
      <c r="J653" t="s">
        <v>225</v>
      </c>
      <c r="K653">
        <v>24992</v>
      </c>
      <c r="L653" s="1">
        <v>42754</v>
      </c>
      <c r="M653" s="1" t="s">
        <v>3165</v>
      </c>
      <c r="N653" t="s">
        <v>2256</v>
      </c>
      <c r="O653" t="s">
        <v>3149</v>
      </c>
    </row>
    <row r="654" spans="1:15" x14ac:dyDescent="0.3">
      <c r="A654" t="s">
        <v>2260</v>
      </c>
      <c r="B654">
        <v>8</v>
      </c>
      <c r="C654" s="1">
        <v>43864</v>
      </c>
      <c r="D654" t="s">
        <v>2261</v>
      </c>
      <c r="E654" t="s">
        <v>2262</v>
      </c>
      <c r="F654" t="s">
        <v>216</v>
      </c>
      <c r="G654" t="s">
        <v>1409</v>
      </c>
      <c r="H654">
        <v>27</v>
      </c>
      <c r="I654">
        <v>2016</v>
      </c>
      <c r="J654" t="s">
        <v>261</v>
      </c>
      <c r="K654">
        <v>190980</v>
      </c>
      <c r="L654" s="1">
        <v>42572</v>
      </c>
      <c r="M654" s="1" t="s">
        <v>3171</v>
      </c>
      <c r="N654" t="s">
        <v>3217</v>
      </c>
      <c r="O654" t="s">
        <v>3175</v>
      </c>
    </row>
    <row r="655" spans="1:15" x14ac:dyDescent="0.3">
      <c r="A655" t="s">
        <v>2263</v>
      </c>
      <c r="B655">
        <v>7</v>
      </c>
      <c r="C655" s="1">
        <v>45151</v>
      </c>
      <c r="D655" t="s">
        <v>2264</v>
      </c>
      <c r="E655" t="s">
        <v>2265</v>
      </c>
      <c r="F655" t="s">
        <v>15</v>
      </c>
      <c r="G655" t="s">
        <v>73</v>
      </c>
      <c r="H655">
        <v>139</v>
      </c>
      <c r="I655">
        <v>2018</v>
      </c>
      <c r="J655" t="s">
        <v>409</v>
      </c>
      <c r="K655">
        <v>49488</v>
      </c>
      <c r="L655" s="1">
        <v>43235</v>
      </c>
      <c r="M655" s="1" t="s">
        <v>3165</v>
      </c>
      <c r="N655" t="s">
        <v>1672</v>
      </c>
      <c r="O655" t="s">
        <v>3149</v>
      </c>
    </row>
    <row r="656" spans="1:15" x14ac:dyDescent="0.3">
      <c r="A656" t="s">
        <v>2266</v>
      </c>
      <c r="B656">
        <v>7</v>
      </c>
      <c r="C656" s="1">
        <v>44844</v>
      </c>
      <c r="D656" t="s">
        <v>2267</v>
      </c>
      <c r="E656" t="s">
        <v>2268</v>
      </c>
      <c r="F656" t="s">
        <v>47</v>
      </c>
      <c r="G656" t="s">
        <v>334</v>
      </c>
      <c r="H656">
        <v>23</v>
      </c>
      <c r="I656">
        <v>2016</v>
      </c>
      <c r="J656" t="s">
        <v>2269</v>
      </c>
      <c r="K656">
        <v>96</v>
      </c>
      <c r="L656" s="1">
        <v>42735</v>
      </c>
      <c r="M656" s="1" t="s">
        <v>3154</v>
      </c>
      <c r="N656" t="s">
        <v>1305</v>
      </c>
      <c r="O656" t="s">
        <v>3149</v>
      </c>
    </row>
    <row r="657" spans="1:15" x14ac:dyDescent="0.3">
      <c r="A657" t="s">
        <v>2274</v>
      </c>
      <c r="B657">
        <v>6</v>
      </c>
      <c r="C657" s="1">
        <v>44645</v>
      </c>
      <c r="D657" t="s">
        <v>2275</v>
      </c>
      <c r="E657" t="s">
        <v>2276</v>
      </c>
      <c r="F657" t="s">
        <v>15</v>
      </c>
      <c r="G657" t="s">
        <v>95</v>
      </c>
      <c r="H657">
        <v>121</v>
      </c>
      <c r="I657">
        <v>2017</v>
      </c>
      <c r="J657" t="s">
        <v>2277</v>
      </c>
      <c r="K657">
        <v>174888</v>
      </c>
      <c r="L657" s="1">
        <v>42877</v>
      </c>
      <c r="M657" s="1" t="s">
        <v>3171</v>
      </c>
      <c r="N657" t="s">
        <v>1727</v>
      </c>
      <c r="O657" t="s">
        <v>3149</v>
      </c>
    </row>
    <row r="658" spans="1:15" x14ac:dyDescent="0.3">
      <c r="A658" t="s">
        <v>2283</v>
      </c>
      <c r="B658">
        <v>8</v>
      </c>
      <c r="C658" s="1">
        <v>44324</v>
      </c>
      <c r="D658" t="s">
        <v>2284</v>
      </c>
      <c r="E658" t="s">
        <v>2285</v>
      </c>
      <c r="F658" t="s">
        <v>15</v>
      </c>
      <c r="G658" t="s">
        <v>61</v>
      </c>
      <c r="H658">
        <v>132</v>
      </c>
      <c r="I658">
        <v>2017</v>
      </c>
      <c r="J658" t="s">
        <v>42</v>
      </c>
      <c r="K658">
        <v>303867</v>
      </c>
      <c r="L658" s="1">
        <v>42757</v>
      </c>
      <c r="M658" s="1" t="s">
        <v>3165</v>
      </c>
      <c r="N658" t="s">
        <v>69</v>
      </c>
      <c r="O658" t="s">
        <v>3149</v>
      </c>
    </row>
    <row r="659" spans="1:15" x14ac:dyDescent="0.3">
      <c r="A659" t="s">
        <v>2286</v>
      </c>
      <c r="B659">
        <v>7</v>
      </c>
      <c r="C659" s="1">
        <v>44629</v>
      </c>
      <c r="D659" t="s">
        <v>2287</v>
      </c>
      <c r="E659" t="s">
        <v>2288</v>
      </c>
      <c r="F659" t="s">
        <v>15</v>
      </c>
      <c r="G659" t="s">
        <v>148</v>
      </c>
      <c r="H659">
        <v>135</v>
      </c>
      <c r="I659">
        <v>2019</v>
      </c>
      <c r="J659" t="s">
        <v>123</v>
      </c>
      <c r="K659">
        <v>310253</v>
      </c>
      <c r="L659" s="1">
        <v>43707</v>
      </c>
      <c r="M659" s="1" t="s">
        <v>3165</v>
      </c>
      <c r="N659" t="s">
        <v>2065</v>
      </c>
      <c r="O659" t="s">
        <v>3149</v>
      </c>
    </row>
    <row r="660" spans="1:15" x14ac:dyDescent="0.3">
      <c r="A660" t="s">
        <v>2289</v>
      </c>
      <c r="B660">
        <v>7</v>
      </c>
      <c r="C660" s="1">
        <v>44179</v>
      </c>
      <c r="D660" t="s">
        <v>2290</v>
      </c>
      <c r="E660" t="s">
        <v>2291</v>
      </c>
      <c r="F660" t="s">
        <v>216</v>
      </c>
      <c r="G660" t="s">
        <v>1409</v>
      </c>
      <c r="H660">
        <v>1455</v>
      </c>
      <c r="I660">
        <v>2017</v>
      </c>
      <c r="J660" t="s">
        <v>2292</v>
      </c>
      <c r="K660">
        <v>430797</v>
      </c>
      <c r="L660" s="1">
        <v>42987</v>
      </c>
      <c r="M660" s="1" t="s">
        <v>3180</v>
      </c>
      <c r="N660" t="s">
        <v>3218</v>
      </c>
      <c r="O660" t="s">
        <v>3149</v>
      </c>
    </row>
    <row r="661" spans="1:15" x14ac:dyDescent="0.3">
      <c r="A661" t="s">
        <v>2293</v>
      </c>
      <c r="B661">
        <v>6</v>
      </c>
      <c r="C661" s="1">
        <v>43839</v>
      </c>
      <c r="D661" t="s">
        <v>2294</v>
      </c>
      <c r="E661" t="s">
        <v>2295</v>
      </c>
      <c r="F661" t="s">
        <v>15</v>
      </c>
      <c r="G661" t="s">
        <v>882</v>
      </c>
      <c r="H661">
        <v>95</v>
      </c>
      <c r="I661">
        <v>2020</v>
      </c>
      <c r="J661" t="s">
        <v>2296</v>
      </c>
      <c r="K661">
        <v>94091</v>
      </c>
      <c r="L661" s="1">
        <v>43837</v>
      </c>
      <c r="M661" s="1" t="s">
        <v>3165</v>
      </c>
      <c r="N661" t="s">
        <v>2297</v>
      </c>
      <c r="O661" t="s">
        <v>3149</v>
      </c>
    </row>
    <row r="662" spans="1:15" x14ac:dyDescent="0.3">
      <c r="A662" t="s">
        <v>2298</v>
      </c>
      <c r="B662">
        <v>7</v>
      </c>
      <c r="C662" s="1">
        <v>45148</v>
      </c>
      <c r="D662" t="s">
        <v>2299</v>
      </c>
      <c r="E662" t="s">
        <v>2300</v>
      </c>
      <c r="F662" t="s">
        <v>15</v>
      </c>
      <c r="G662" t="s">
        <v>158</v>
      </c>
      <c r="H662">
        <v>105</v>
      </c>
      <c r="I662">
        <v>2018</v>
      </c>
      <c r="J662" t="s">
        <v>2277</v>
      </c>
      <c r="K662">
        <v>45016</v>
      </c>
      <c r="L662" s="1">
        <v>43122</v>
      </c>
      <c r="M662" s="1" t="s">
        <v>3169</v>
      </c>
      <c r="N662" t="s">
        <v>2301</v>
      </c>
      <c r="O662" t="s">
        <v>3149</v>
      </c>
    </row>
    <row r="663" spans="1:15" x14ac:dyDescent="0.3">
      <c r="A663" t="s">
        <v>2302</v>
      </c>
      <c r="B663">
        <v>5</v>
      </c>
      <c r="C663" s="1">
        <v>44988</v>
      </c>
      <c r="D663" t="s">
        <v>2303</v>
      </c>
      <c r="E663" t="s">
        <v>2304</v>
      </c>
      <c r="F663" t="s">
        <v>15</v>
      </c>
      <c r="G663" t="s">
        <v>148</v>
      </c>
      <c r="H663">
        <v>130</v>
      </c>
      <c r="I663">
        <v>2017</v>
      </c>
      <c r="J663" t="s">
        <v>2305</v>
      </c>
      <c r="K663">
        <v>142673</v>
      </c>
      <c r="L663" s="1">
        <v>43080</v>
      </c>
      <c r="M663" s="1" t="s">
        <v>3165</v>
      </c>
      <c r="N663" t="s">
        <v>356</v>
      </c>
      <c r="O663" t="s">
        <v>3149</v>
      </c>
    </row>
    <row r="664" spans="1:15" x14ac:dyDescent="0.3">
      <c r="A664" t="s">
        <v>2306</v>
      </c>
      <c r="B664">
        <v>8</v>
      </c>
      <c r="C664" s="1">
        <v>44123</v>
      </c>
      <c r="D664" t="s">
        <v>2307</v>
      </c>
      <c r="E664" t="s">
        <v>2308</v>
      </c>
      <c r="F664" t="s">
        <v>216</v>
      </c>
      <c r="G664" t="s">
        <v>1409</v>
      </c>
      <c r="H664">
        <v>2408</v>
      </c>
      <c r="I664">
        <v>2017</v>
      </c>
      <c r="J664" t="s">
        <v>261</v>
      </c>
      <c r="K664">
        <v>139548</v>
      </c>
      <c r="L664" s="1">
        <v>42811</v>
      </c>
      <c r="M664" s="1" t="s">
        <v>3165</v>
      </c>
      <c r="N664" t="s">
        <v>3189</v>
      </c>
      <c r="O664" t="s">
        <v>3175</v>
      </c>
    </row>
    <row r="665" spans="1:15" x14ac:dyDescent="0.3">
      <c r="A665" t="s">
        <v>2321</v>
      </c>
      <c r="B665">
        <v>7</v>
      </c>
      <c r="C665" s="1">
        <v>44950</v>
      </c>
      <c r="D665" t="s">
        <v>2322</v>
      </c>
      <c r="E665" t="s">
        <v>2323</v>
      </c>
      <c r="F665" t="s">
        <v>15</v>
      </c>
      <c r="G665" t="s">
        <v>158</v>
      </c>
      <c r="H665">
        <v>110</v>
      </c>
      <c r="I665">
        <v>2017</v>
      </c>
      <c r="J665" t="s">
        <v>2277</v>
      </c>
      <c r="K665">
        <v>37372</v>
      </c>
      <c r="L665" s="1">
        <v>42989</v>
      </c>
      <c r="M665" s="1" t="s">
        <v>3159</v>
      </c>
      <c r="N665" t="s">
        <v>2324</v>
      </c>
      <c r="O665" t="s">
        <v>3149</v>
      </c>
    </row>
    <row r="666" spans="1:15" x14ac:dyDescent="0.3">
      <c r="A666" t="s">
        <v>2328</v>
      </c>
      <c r="B666">
        <v>8</v>
      </c>
      <c r="C666" s="1">
        <v>44003</v>
      </c>
      <c r="D666" t="s">
        <v>2329</v>
      </c>
      <c r="E666" t="s">
        <v>2330</v>
      </c>
      <c r="F666" t="s">
        <v>15</v>
      </c>
      <c r="G666" t="s">
        <v>79</v>
      </c>
      <c r="H666">
        <v>120</v>
      </c>
      <c r="I666">
        <v>2018</v>
      </c>
      <c r="J666" t="s">
        <v>2331</v>
      </c>
      <c r="K666">
        <v>954</v>
      </c>
      <c r="L666" s="1">
        <v>43412</v>
      </c>
      <c r="M666" s="1" t="s">
        <v>3154</v>
      </c>
      <c r="N666" t="s">
        <v>2332</v>
      </c>
      <c r="O666" t="s">
        <v>3149</v>
      </c>
    </row>
    <row r="667" spans="1:15" x14ac:dyDescent="0.3">
      <c r="A667" t="s">
        <v>2333</v>
      </c>
      <c r="B667">
        <v>7</v>
      </c>
      <c r="C667" s="1">
        <v>45279</v>
      </c>
      <c r="D667" t="s">
        <v>2334</v>
      </c>
      <c r="E667" t="s">
        <v>2335</v>
      </c>
      <c r="F667" t="s">
        <v>15</v>
      </c>
      <c r="G667" t="s">
        <v>67</v>
      </c>
      <c r="H667">
        <v>105</v>
      </c>
      <c r="I667">
        <v>2018</v>
      </c>
      <c r="J667" t="s">
        <v>24</v>
      </c>
      <c r="K667">
        <v>30888</v>
      </c>
      <c r="L667" s="1">
        <v>43120</v>
      </c>
      <c r="M667" s="1" t="s">
        <v>3165</v>
      </c>
      <c r="N667" t="s">
        <v>2336</v>
      </c>
      <c r="O667" t="s">
        <v>3149</v>
      </c>
    </row>
    <row r="668" spans="1:15" x14ac:dyDescent="0.3">
      <c r="A668" t="s">
        <v>2343</v>
      </c>
      <c r="B668">
        <v>8</v>
      </c>
      <c r="C668" s="1">
        <v>45166</v>
      </c>
      <c r="D668" t="s">
        <v>2344</v>
      </c>
      <c r="E668" t="s">
        <v>2345</v>
      </c>
      <c r="F668" t="s">
        <v>15</v>
      </c>
      <c r="G668" t="s">
        <v>79</v>
      </c>
      <c r="H668">
        <v>104</v>
      </c>
      <c r="I668">
        <v>2017</v>
      </c>
      <c r="J668" t="s">
        <v>24</v>
      </c>
      <c r="K668">
        <v>20427</v>
      </c>
      <c r="L668" s="1">
        <v>42757</v>
      </c>
      <c r="M668" s="1" t="s">
        <v>3165</v>
      </c>
      <c r="N668" t="s">
        <v>2346</v>
      </c>
      <c r="O668" t="s">
        <v>3149</v>
      </c>
    </row>
    <row r="669" spans="1:15" x14ac:dyDescent="0.3">
      <c r="A669" t="s">
        <v>2362</v>
      </c>
      <c r="B669">
        <v>7</v>
      </c>
      <c r="C669" s="1">
        <v>45113</v>
      </c>
      <c r="D669" t="s">
        <v>2363</v>
      </c>
      <c r="E669" t="s">
        <v>2364</v>
      </c>
      <c r="F669" t="s">
        <v>47</v>
      </c>
      <c r="G669" t="s">
        <v>198</v>
      </c>
      <c r="H669">
        <v>15</v>
      </c>
      <c r="I669">
        <v>2017</v>
      </c>
      <c r="J669" t="s">
        <v>456</v>
      </c>
      <c r="K669">
        <v>181</v>
      </c>
      <c r="L669" s="1">
        <v>42769</v>
      </c>
      <c r="M669" s="1" t="s">
        <v>3165</v>
      </c>
      <c r="N669" t="s">
        <v>2365</v>
      </c>
      <c r="O669" t="s">
        <v>3175</v>
      </c>
    </row>
    <row r="670" spans="1:15" x14ac:dyDescent="0.3">
      <c r="A670" t="s">
        <v>2366</v>
      </c>
      <c r="B670">
        <v>6</v>
      </c>
      <c r="C670" s="1">
        <v>44947</v>
      </c>
      <c r="D670" t="s">
        <v>2367</v>
      </c>
      <c r="E670" t="s">
        <v>2368</v>
      </c>
      <c r="F670" t="s">
        <v>15</v>
      </c>
      <c r="G670" t="s">
        <v>379</v>
      </c>
      <c r="H670">
        <v>136</v>
      </c>
      <c r="I670">
        <v>2022</v>
      </c>
      <c r="J670" t="s">
        <v>2369</v>
      </c>
      <c r="K670">
        <v>43061</v>
      </c>
      <c r="L670" s="1">
        <v>44804</v>
      </c>
      <c r="M670" s="1" t="s">
        <v>3165</v>
      </c>
      <c r="N670" t="s">
        <v>1367</v>
      </c>
      <c r="O670" t="s">
        <v>3149</v>
      </c>
    </row>
    <row r="671" spans="1:15" x14ac:dyDescent="0.3">
      <c r="A671" t="s">
        <v>2370</v>
      </c>
      <c r="B671">
        <v>7</v>
      </c>
      <c r="C671" s="1">
        <v>45158</v>
      </c>
      <c r="D671" t="s">
        <v>2371</v>
      </c>
      <c r="E671" t="s">
        <v>2372</v>
      </c>
      <c r="F671" t="s">
        <v>15</v>
      </c>
      <c r="G671" t="s">
        <v>79</v>
      </c>
      <c r="H671">
        <v>115</v>
      </c>
      <c r="I671">
        <v>2017</v>
      </c>
      <c r="J671" t="s">
        <v>399</v>
      </c>
      <c r="K671">
        <v>5838</v>
      </c>
      <c r="L671" s="1">
        <v>42762</v>
      </c>
      <c r="M671" s="1" t="s">
        <v>3203</v>
      </c>
      <c r="N671" t="s">
        <v>2373</v>
      </c>
      <c r="O671" t="s">
        <v>3149</v>
      </c>
    </row>
    <row r="672" spans="1:15" x14ac:dyDescent="0.3">
      <c r="A672" t="s">
        <v>2381</v>
      </c>
      <c r="B672">
        <v>7</v>
      </c>
      <c r="C672" s="1">
        <v>44424</v>
      </c>
      <c r="D672" t="s">
        <v>2382</v>
      </c>
      <c r="E672" t="s">
        <v>2383</v>
      </c>
      <c r="F672" t="s">
        <v>15</v>
      </c>
      <c r="G672" t="s">
        <v>116</v>
      </c>
      <c r="H672">
        <v>141</v>
      </c>
      <c r="I672">
        <v>2021</v>
      </c>
      <c r="J672" t="s">
        <v>1228</v>
      </c>
      <c r="K672">
        <v>22188</v>
      </c>
      <c r="L672" s="1">
        <v>44383</v>
      </c>
      <c r="M672" s="1" t="s">
        <v>3165</v>
      </c>
      <c r="N672" t="s">
        <v>43</v>
      </c>
      <c r="O672" t="s">
        <v>3149</v>
      </c>
    </row>
    <row r="673" spans="1:15" x14ac:dyDescent="0.3">
      <c r="A673" t="s">
        <v>2395</v>
      </c>
      <c r="B673">
        <v>7</v>
      </c>
      <c r="C673" s="1">
        <v>44541</v>
      </c>
      <c r="D673" t="s">
        <v>2396</v>
      </c>
      <c r="E673" t="s">
        <v>2397</v>
      </c>
      <c r="F673" t="s">
        <v>15</v>
      </c>
      <c r="G673" t="s">
        <v>95</v>
      </c>
      <c r="H673">
        <v>99</v>
      </c>
      <c r="I673">
        <v>2020</v>
      </c>
      <c r="J673" t="s">
        <v>96</v>
      </c>
      <c r="K673">
        <v>332</v>
      </c>
      <c r="L673" s="1">
        <v>43856</v>
      </c>
      <c r="M673" s="1" t="s">
        <v>3180</v>
      </c>
      <c r="N673" t="s">
        <v>2398</v>
      </c>
      <c r="O673" t="s">
        <v>3149</v>
      </c>
    </row>
    <row r="674" spans="1:15" x14ac:dyDescent="0.3">
      <c r="A674" t="s">
        <v>2399</v>
      </c>
      <c r="B674">
        <v>8</v>
      </c>
      <c r="C674" s="1">
        <v>43946</v>
      </c>
      <c r="D674" t="s">
        <v>2400</v>
      </c>
      <c r="E674" t="s">
        <v>2401</v>
      </c>
      <c r="F674" t="s">
        <v>15</v>
      </c>
      <c r="G674" t="s">
        <v>56</v>
      </c>
      <c r="H674">
        <v>89</v>
      </c>
      <c r="I674">
        <v>2018</v>
      </c>
      <c r="J674" t="s">
        <v>1876</v>
      </c>
      <c r="K674">
        <v>61110</v>
      </c>
      <c r="L674" s="1">
        <v>43230</v>
      </c>
      <c r="M674" s="1" t="s">
        <v>3166</v>
      </c>
      <c r="N674" t="s">
        <v>1515</v>
      </c>
      <c r="O674" t="s">
        <v>3149</v>
      </c>
    </row>
    <row r="675" spans="1:15" x14ac:dyDescent="0.3">
      <c r="A675" t="s">
        <v>2405</v>
      </c>
      <c r="B675">
        <v>6</v>
      </c>
      <c r="C675" s="1">
        <v>45241</v>
      </c>
      <c r="D675" t="s">
        <v>2406</v>
      </c>
      <c r="E675" t="s">
        <v>2407</v>
      </c>
      <c r="F675" t="s">
        <v>15</v>
      </c>
      <c r="G675" t="s">
        <v>198</v>
      </c>
      <c r="H675">
        <v>141</v>
      </c>
      <c r="I675">
        <v>2018</v>
      </c>
      <c r="J675" t="s">
        <v>409</v>
      </c>
      <c r="K675">
        <v>161898</v>
      </c>
      <c r="L675" s="1">
        <v>43365</v>
      </c>
      <c r="M675" s="1" t="s">
        <v>3165</v>
      </c>
      <c r="N675" t="s">
        <v>2408</v>
      </c>
      <c r="O675" t="s">
        <v>3149</v>
      </c>
    </row>
    <row r="676" spans="1:15" x14ac:dyDescent="0.3">
      <c r="A676" t="s">
        <v>2418</v>
      </c>
      <c r="B676">
        <v>8</v>
      </c>
      <c r="C676" s="1">
        <v>44788</v>
      </c>
      <c r="D676" t="s">
        <v>2419</v>
      </c>
      <c r="E676" t="s">
        <v>2420</v>
      </c>
      <c r="F676" t="s">
        <v>15</v>
      </c>
      <c r="G676" t="s">
        <v>61</v>
      </c>
      <c r="H676">
        <v>139</v>
      </c>
      <c r="I676">
        <v>2022</v>
      </c>
      <c r="J676" t="s">
        <v>2421</v>
      </c>
      <c r="K676">
        <v>499360</v>
      </c>
      <c r="L676" s="1">
        <v>44631</v>
      </c>
      <c r="M676" s="1" t="s">
        <v>3165</v>
      </c>
      <c r="N676" t="s">
        <v>2422</v>
      </c>
      <c r="O676" t="s">
        <v>3149</v>
      </c>
    </row>
    <row r="677" spans="1:15" x14ac:dyDescent="0.3">
      <c r="A677" t="s">
        <v>2423</v>
      </c>
      <c r="B677">
        <v>7</v>
      </c>
      <c r="C677" s="1">
        <v>44074</v>
      </c>
      <c r="D677" t="s">
        <v>2424</v>
      </c>
      <c r="E677" t="s">
        <v>2425</v>
      </c>
      <c r="F677" t="s">
        <v>15</v>
      </c>
      <c r="G677" t="s">
        <v>16</v>
      </c>
      <c r="H677">
        <v>150</v>
      </c>
      <c r="I677">
        <v>2020</v>
      </c>
      <c r="J677" t="s">
        <v>2426</v>
      </c>
      <c r="K677">
        <v>573564</v>
      </c>
      <c r="L677" s="1">
        <v>44065</v>
      </c>
      <c r="M677" s="1" t="s">
        <v>3165</v>
      </c>
      <c r="N677" t="s">
        <v>756</v>
      </c>
      <c r="O677" t="s">
        <v>3149</v>
      </c>
    </row>
    <row r="678" spans="1:15" x14ac:dyDescent="0.3">
      <c r="A678" t="s">
        <v>2431</v>
      </c>
      <c r="B678">
        <v>7</v>
      </c>
      <c r="C678" s="1">
        <v>43866</v>
      </c>
      <c r="D678" t="s">
        <v>2432</v>
      </c>
      <c r="E678" t="s">
        <v>2433</v>
      </c>
      <c r="F678" t="s">
        <v>15</v>
      </c>
      <c r="G678" t="s">
        <v>23</v>
      </c>
      <c r="H678">
        <v>132</v>
      </c>
      <c r="I678">
        <v>2019</v>
      </c>
      <c r="J678" t="s">
        <v>117</v>
      </c>
      <c r="K678">
        <v>915933</v>
      </c>
      <c r="L678" s="1">
        <v>43606</v>
      </c>
      <c r="M678" s="1" t="s">
        <v>3197</v>
      </c>
      <c r="N678" t="s">
        <v>1068</v>
      </c>
      <c r="O678" t="s">
        <v>3149</v>
      </c>
    </row>
    <row r="679" spans="1:15" x14ac:dyDescent="0.3">
      <c r="A679" t="s">
        <v>2434</v>
      </c>
      <c r="B679">
        <v>8</v>
      </c>
      <c r="C679" s="1">
        <v>44425</v>
      </c>
      <c r="D679" t="s">
        <v>2435</v>
      </c>
      <c r="E679" t="s">
        <v>2436</v>
      </c>
      <c r="F679" t="s">
        <v>15</v>
      </c>
      <c r="G679" t="s">
        <v>158</v>
      </c>
      <c r="H679">
        <v>131</v>
      </c>
      <c r="I679">
        <v>2021</v>
      </c>
      <c r="J679" t="s">
        <v>584</v>
      </c>
      <c r="K679">
        <v>24521</v>
      </c>
      <c r="L679" s="1">
        <v>44386</v>
      </c>
      <c r="M679" s="1" t="s">
        <v>3155</v>
      </c>
      <c r="N679" t="s">
        <v>179</v>
      </c>
      <c r="O679" t="s">
        <v>3149</v>
      </c>
    </row>
    <row r="680" spans="1:15" x14ac:dyDescent="0.3">
      <c r="A680" t="s">
        <v>2441</v>
      </c>
      <c r="B680">
        <v>7</v>
      </c>
      <c r="C680" s="1">
        <v>44027</v>
      </c>
      <c r="D680" t="s">
        <v>2442</v>
      </c>
      <c r="E680" t="s">
        <v>2443</v>
      </c>
      <c r="F680" t="s">
        <v>15</v>
      </c>
      <c r="G680" t="s">
        <v>35</v>
      </c>
      <c r="H680">
        <v>141</v>
      </c>
      <c r="I680">
        <v>2019</v>
      </c>
      <c r="J680" t="s">
        <v>2444</v>
      </c>
      <c r="K680">
        <v>15552</v>
      </c>
      <c r="L680" s="1">
        <v>43506</v>
      </c>
      <c r="M680" s="1" t="s">
        <v>3166</v>
      </c>
      <c r="N680" t="s">
        <v>789</v>
      </c>
      <c r="O680" t="s">
        <v>3175</v>
      </c>
    </row>
    <row r="681" spans="1:15" x14ac:dyDescent="0.3">
      <c r="A681" t="s">
        <v>2449</v>
      </c>
      <c r="B681">
        <v>7</v>
      </c>
      <c r="C681" s="1">
        <v>45247</v>
      </c>
      <c r="D681" t="s">
        <v>2450</v>
      </c>
      <c r="E681" t="s">
        <v>2451</v>
      </c>
      <c r="F681" t="s">
        <v>15</v>
      </c>
      <c r="G681" t="s">
        <v>95</v>
      </c>
      <c r="H681">
        <v>95</v>
      </c>
      <c r="I681">
        <v>2018</v>
      </c>
      <c r="J681" t="s">
        <v>24</v>
      </c>
      <c r="K681">
        <v>1857</v>
      </c>
      <c r="L681" s="1">
        <v>43282</v>
      </c>
      <c r="M681" s="1" t="s">
        <v>3211</v>
      </c>
      <c r="N681" t="s">
        <v>2452</v>
      </c>
      <c r="O681" t="s">
        <v>3175</v>
      </c>
    </row>
    <row r="682" spans="1:15" x14ac:dyDescent="0.3">
      <c r="A682" t="s">
        <v>2456</v>
      </c>
      <c r="B682">
        <v>6</v>
      </c>
      <c r="C682" s="1">
        <v>43679</v>
      </c>
      <c r="D682" t="s">
        <v>2457</v>
      </c>
      <c r="E682" t="s">
        <v>2458</v>
      </c>
      <c r="F682" t="s">
        <v>15</v>
      </c>
      <c r="G682" t="s">
        <v>67</v>
      </c>
      <c r="H682">
        <v>116</v>
      </c>
      <c r="I682">
        <v>2019</v>
      </c>
      <c r="J682" t="s">
        <v>738</v>
      </c>
      <c r="K682">
        <v>333303</v>
      </c>
      <c r="L682" s="1">
        <v>43532</v>
      </c>
      <c r="M682" s="1" t="s">
        <v>3165</v>
      </c>
      <c r="N682" t="s">
        <v>2459</v>
      </c>
      <c r="O682" t="s">
        <v>3149</v>
      </c>
    </row>
    <row r="683" spans="1:15" x14ac:dyDescent="0.3">
      <c r="A683" t="s">
        <v>2464</v>
      </c>
      <c r="B683">
        <v>7</v>
      </c>
      <c r="C683" s="1">
        <v>44914</v>
      </c>
      <c r="D683" t="s">
        <v>2465</v>
      </c>
      <c r="E683" t="s">
        <v>2466</v>
      </c>
      <c r="F683" t="s">
        <v>15</v>
      </c>
      <c r="G683" t="s">
        <v>116</v>
      </c>
      <c r="H683">
        <v>98</v>
      </c>
      <c r="I683">
        <v>2019</v>
      </c>
      <c r="J683" t="s">
        <v>1744</v>
      </c>
      <c r="K683">
        <v>68118</v>
      </c>
      <c r="L683" s="1">
        <v>43717</v>
      </c>
      <c r="M683" s="1" t="s">
        <v>3165</v>
      </c>
      <c r="N683" t="s">
        <v>2467</v>
      </c>
      <c r="O683" t="s">
        <v>3149</v>
      </c>
    </row>
    <row r="684" spans="1:15" x14ac:dyDescent="0.3">
      <c r="A684" t="s">
        <v>2472</v>
      </c>
      <c r="B684">
        <v>6</v>
      </c>
      <c r="C684" s="1">
        <v>45189</v>
      </c>
      <c r="D684" t="s">
        <v>2473</v>
      </c>
      <c r="E684" t="s">
        <v>2474</v>
      </c>
      <c r="F684" t="s">
        <v>15</v>
      </c>
      <c r="G684" t="s">
        <v>346</v>
      </c>
      <c r="H684">
        <v>120</v>
      </c>
      <c r="I684">
        <v>2019</v>
      </c>
      <c r="J684" t="s">
        <v>42</v>
      </c>
      <c r="K684">
        <v>14167</v>
      </c>
      <c r="L684" s="1">
        <v>43492</v>
      </c>
      <c r="M684" s="1" t="s">
        <v>3171</v>
      </c>
      <c r="N684" t="s">
        <v>2475</v>
      </c>
      <c r="O684" t="s">
        <v>3175</v>
      </c>
    </row>
    <row r="685" spans="1:15" x14ac:dyDescent="0.3">
      <c r="A685" t="s">
        <v>2476</v>
      </c>
      <c r="B685">
        <v>8</v>
      </c>
      <c r="C685" s="1">
        <v>45124</v>
      </c>
      <c r="D685" t="s">
        <v>2477</v>
      </c>
      <c r="E685" t="s">
        <v>2478</v>
      </c>
      <c r="F685" t="s">
        <v>15</v>
      </c>
      <c r="G685" t="s">
        <v>35</v>
      </c>
      <c r="H685">
        <v>111</v>
      </c>
      <c r="I685">
        <v>2018</v>
      </c>
      <c r="J685" t="s">
        <v>230</v>
      </c>
      <c r="K685">
        <v>39017</v>
      </c>
      <c r="L685" s="1">
        <v>43346</v>
      </c>
      <c r="M685" s="1" t="s">
        <v>3165</v>
      </c>
      <c r="N685" t="s">
        <v>2479</v>
      </c>
      <c r="O685" t="s">
        <v>3149</v>
      </c>
    </row>
    <row r="686" spans="1:15" x14ac:dyDescent="0.3">
      <c r="A686" t="s">
        <v>2480</v>
      </c>
      <c r="B686">
        <v>7</v>
      </c>
      <c r="C686" s="1">
        <v>45161</v>
      </c>
      <c r="D686" t="s">
        <v>2481</v>
      </c>
      <c r="E686" t="s">
        <v>2482</v>
      </c>
      <c r="F686" t="s">
        <v>15</v>
      </c>
      <c r="G686" t="s">
        <v>122</v>
      </c>
      <c r="H686">
        <v>76</v>
      </c>
      <c r="I686">
        <v>2018</v>
      </c>
      <c r="J686" t="s">
        <v>2483</v>
      </c>
      <c r="K686">
        <v>8</v>
      </c>
      <c r="L686" s="1">
        <v>43218</v>
      </c>
      <c r="M686" s="1" t="s">
        <v>3154</v>
      </c>
      <c r="N686" t="s">
        <v>2484</v>
      </c>
      <c r="O686" t="s">
        <v>3149</v>
      </c>
    </row>
    <row r="687" spans="1:15" x14ac:dyDescent="0.3">
      <c r="A687" t="s">
        <v>2485</v>
      </c>
      <c r="B687">
        <v>8</v>
      </c>
      <c r="C687" s="1">
        <v>43845</v>
      </c>
      <c r="D687" t="s">
        <v>2486</v>
      </c>
      <c r="E687" t="s">
        <v>2487</v>
      </c>
      <c r="F687" t="s">
        <v>15</v>
      </c>
      <c r="G687" t="s">
        <v>369</v>
      </c>
      <c r="H687">
        <v>130</v>
      </c>
      <c r="I687">
        <v>2018</v>
      </c>
      <c r="J687" t="s">
        <v>2488</v>
      </c>
      <c r="K687">
        <v>548251</v>
      </c>
      <c r="L687" s="1">
        <v>43354</v>
      </c>
      <c r="M687" s="1" t="s">
        <v>3165</v>
      </c>
      <c r="N687" t="s">
        <v>112</v>
      </c>
      <c r="O687" t="s">
        <v>3149</v>
      </c>
    </row>
    <row r="688" spans="1:15" x14ac:dyDescent="0.3">
      <c r="A688" t="s">
        <v>2493</v>
      </c>
      <c r="B688">
        <v>6</v>
      </c>
      <c r="C688" s="1">
        <v>45191</v>
      </c>
      <c r="D688" t="s">
        <v>2494</v>
      </c>
      <c r="E688" t="s">
        <v>2495</v>
      </c>
      <c r="F688" t="s">
        <v>15</v>
      </c>
      <c r="G688" t="s">
        <v>198</v>
      </c>
      <c r="H688">
        <v>107</v>
      </c>
      <c r="I688">
        <v>2021</v>
      </c>
      <c r="J688" t="s">
        <v>42</v>
      </c>
      <c r="K688">
        <v>4028</v>
      </c>
      <c r="L688" s="1">
        <v>44385</v>
      </c>
      <c r="M688" s="1" t="s">
        <v>3171</v>
      </c>
      <c r="N688" t="s">
        <v>2475</v>
      </c>
      <c r="O688" t="s">
        <v>3175</v>
      </c>
    </row>
    <row r="689" spans="1:15" x14ac:dyDescent="0.3">
      <c r="A689" t="s">
        <v>2500</v>
      </c>
      <c r="B689">
        <v>7</v>
      </c>
      <c r="C689" s="1">
        <v>45004</v>
      </c>
      <c r="D689" t="s">
        <v>2501</v>
      </c>
      <c r="E689" t="s">
        <v>2502</v>
      </c>
      <c r="F689" t="s">
        <v>15</v>
      </c>
      <c r="G689" t="s">
        <v>148</v>
      </c>
      <c r="H689">
        <v>93</v>
      </c>
      <c r="I689">
        <v>2018</v>
      </c>
      <c r="J689" t="s">
        <v>261</v>
      </c>
      <c r="K689">
        <v>81346</v>
      </c>
      <c r="L689" s="1">
        <v>43119</v>
      </c>
      <c r="M689" s="1" t="s">
        <v>3165</v>
      </c>
      <c r="N689" t="s">
        <v>844</v>
      </c>
      <c r="O689" t="s">
        <v>3149</v>
      </c>
    </row>
    <row r="690" spans="1:15" x14ac:dyDescent="0.3">
      <c r="A690" t="s">
        <v>2506</v>
      </c>
      <c r="B690">
        <v>8</v>
      </c>
      <c r="C690" s="1">
        <v>43701</v>
      </c>
      <c r="D690" t="s">
        <v>2507</v>
      </c>
      <c r="E690" t="s">
        <v>2508</v>
      </c>
      <c r="F690" t="s">
        <v>15</v>
      </c>
      <c r="G690" t="s">
        <v>41</v>
      </c>
      <c r="H690">
        <v>161</v>
      </c>
      <c r="I690">
        <v>2019</v>
      </c>
      <c r="J690" t="s">
        <v>261</v>
      </c>
      <c r="K690">
        <v>817754</v>
      </c>
      <c r="L690" s="1">
        <v>43606</v>
      </c>
      <c r="M690" s="1" t="s">
        <v>3165</v>
      </c>
      <c r="N690" t="s">
        <v>189</v>
      </c>
      <c r="O690" t="s">
        <v>3149</v>
      </c>
    </row>
    <row r="691" spans="1:15" x14ac:dyDescent="0.3">
      <c r="A691" t="s">
        <v>2509</v>
      </c>
      <c r="B691">
        <v>7</v>
      </c>
      <c r="C691" s="1">
        <v>43910</v>
      </c>
      <c r="D691" t="s">
        <v>2510</v>
      </c>
      <c r="E691" t="s">
        <v>2511</v>
      </c>
      <c r="F691" t="s">
        <v>15</v>
      </c>
      <c r="G691" t="s">
        <v>116</v>
      </c>
      <c r="H691">
        <v>88</v>
      </c>
      <c r="I691">
        <v>2018</v>
      </c>
      <c r="J691" t="s">
        <v>24</v>
      </c>
      <c r="K691">
        <v>709</v>
      </c>
      <c r="L691" s="1">
        <v>43151</v>
      </c>
      <c r="M691" s="1" t="s">
        <v>3154</v>
      </c>
      <c r="N691" t="s">
        <v>2512</v>
      </c>
      <c r="O691" t="s">
        <v>3175</v>
      </c>
    </row>
    <row r="692" spans="1:15" x14ac:dyDescent="0.3">
      <c r="A692" t="s">
        <v>2513</v>
      </c>
      <c r="B692">
        <v>6</v>
      </c>
      <c r="C692" s="1">
        <v>44703</v>
      </c>
      <c r="D692" t="s">
        <v>2514</v>
      </c>
      <c r="E692" t="s">
        <v>2515</v>
      </c>
      <c r="F692" t="s">
        <v>15</v>
      </c>
      <c r="G692" t="s">
        <v>73</v>
      </c>
      <c r="H692">
        <v>92</v>
      </c>
      <c r="I692">
        <v>2019</v>
      </c>
      <c r="J692" t="s">
        <v>225</v>
      </c>
      <c r="K692">
        <v>49599</v>
      </c>
      <c r="L692" s="1">
        <v>43672</v>
      </c>
      <c r="M692" s="1" t="s">
        <v>3165</v>
      </c>
      <c r="N692" t="s">
        <v>977</v>
      </c>
      <c r="O692" t="s">
        <v>3149</v>
      </c>
    </row>
    <row r="693" spans="1:15" x14ac:dyDescent="0.3">
      <c r="A693" t="s">
        <v>2524</v>
      </c>
      <c r="B693">
        <v>6</v>
      </c>
      <c r="C693" s="1">
        <v>43925</v>
      </c>
      <c r="D693" t="s">
        <v>2525</v>
      </c>
      <c r="E693" t="s">
        <v>2526</v>
      </c>
      <c r="F693" t="s">
        <v>15</v>
      </c>
      <c r="G693" t="s">
        <v>158</v>
      </c>
      <c r="H693">
        <v>107</v>
      </c>
      <c r="I693">
        <v>2018</v>
      </c>
      <c r="J693" t="s">
        <v>261</v>
      </c>
      <c r="K693">
        <v>693</v>
      </c>
      <c r="L693" s="1">
        <v>43282</v>
      </c>
      <c r="M693" s="1" t="s">
        <v>3154</v>
      </c>
      <c r="N693" t="s">
        <v>2527</v>
      </c>
      <c r="O693" t="s">
        <v>3149</v>
      </c>
    </row>
    <row r="694" spans="1:15" x14ac:dyDescent="0.3">
      <c r="A694" t="s">
        <v>2528</v>
      </c>
      <c r="B694">
        <v>8</v>
      </c>
      <c r="C694" s="1">
        <v>45176</v>
      </c>
      <c r="D694" t="s">
        <v>2529</v>
      </c>
      <c r="E694" t="s">
        <v>2530</v>
      </c>
      <c r="F694" t="s">
        <v>583</v>
      </c>
      <c r="G694" t="s">
        <v>61</v>
      </c>
      <c r="H694">
        <v>112</v>
      </c>
      <c r="I694">
        <v>2017</v>
      </c>
      <c r="J694" t="s">
        <v>2531</v>
      </c>
      <c r="K694">
        <v>3973</v>
      </c>
      <c r="L694" s="1">
        <v>42953</v>
      </c>
      <c r="M694" s="1" t="s">
        <v>3171</v>
      </c>
      <c r="N694" t="s">
        <v>2532</v>
      </c>
      <c r="O694" t="s">
        <v>3149</v>
      </c>
    </row>
    <row r="695" spans="1:15" x14ac:dyDescent="0.3">
      <c r="A695" t="s">
        <v>2537</v>
      </c>
      <c r="B695">
        <v>7</v>
      </c>
      <c r="C695" s="1">
        <v>44844</v>
      </c>
      <c r="D695" t="s">
        <v>2538</v>
      </c>
      <c r="E695" t="s">
        <v>2539</v>
      </c>
      <c r="F695" t="s">
        <v>15</v>
      </c>
      <c r="G695" t="s">
        <v>56</v>
      </c>
      <c r="H695">
        <v>64</v>
      </c>
      <c r="I695">
        <v>2018</v>
      </c>
      <c r="J695" t="s">
        <v>1128</v>
      </c>
      <c r="K695">
        <v>59</v>
      </c>
      <c r="L695" s="1">
        <v>43184</v>
      </c>
      <c r="M695" s="1" t="s">
        <v>3154</v>
      </c>
      <c r="N695" t="s">
        <v>2540</v>
      </c>
      <c r="O695" t="s">
        <v>3175</v>
      </c>
    </row>
    <row r="696" spans="1:15" x14ac:dyDescent="0.3">
      <c r="A696" t="s">
        <v>2541</v>
      </c>
      <c r="B696">
        <v>9</v>
      </c>
      <c r="C696" s="1">
        <v>43833</v>
      </c>
      <c r="D696" t="s">
        <v>2542</v>
      </c>
      <c r="E696" t="s">
        <v>2543</v>
      </c>
      <c r="F696" t="s">
        <v>15</v>
      </c>
      <c r="G696" t="s">
        <v>927</v>
      </c>
      <c r="H696">
        <v>122</v>
      </c>
      <c r="I696">
        <v>2019</v>
      </c>
      <c r="J696" t="s">
        <v>123</v>
      </c>
      <c r="K696">
        <v>1436422</v>
      </c>
      <c r="L696" s="1">
        <v>43708</v>
      </c>
      <c r="M696" s="1" t="s">
        <v>3165</v>
      </c>
      <c r="N696" t="s">
        <v>2544</v>
      </c>
      <c r="O696" t="s">
        <v>3149</v>
      </c>
    </row>
    <row r="697" spans="1:15" x14ac:dyDescent="0.3">
      <c r="A697" t="s">
        <v>2545</v>
      </c>
      <c r="B697">
        <v>5</v>
      </c>
      <c r="C697" s="1">
        <v>44902</v>
      </c>
      <c r="D697" t="s">
        <v>2546</v>
      </c>
      <c r="E697" t="s">
        <v>2547</v>
      </c>
      <c r="F697" t="s">
        <v>15</v>
      </c>
      <c r="G697" t="s">
        <v>16</v>
      </c>
      <c r="H697">
        <v>147</v>
      </c>
      <c r="I697">
        <v>2022</v>
      </c>
      <c r="J697" t="s">
        <v>261</v>
      </c>
      <c r="K697">
        <v>165432</v>
      </c>
      <c r="L697" s="1">
        <v>44702</v>
      </c>
      <c r="M697" s="1" t="s">
        <v>3186</v>
      </c>
      <c r="N697" t="s">
        <v>2548</v>
      </c>
      <c r="O697" t="s">
        <v>3149</v>
      </c>
    </row>
    <row r="698" spans="1:15" x14ac:dyDescent="0.3">
      <c r="A698" t="s">
        <v>2552</v>
      </c>
      <c r="B698">
        <v>7</v>
      </c>
      <c r="C698" s="1">
        <v>44073</v>
      </c>
      <c r="D698" t="s">
        <v>2553</v>
      </c>
      <c r="E698" t="s">
        <v>2554</v>
      </c>
      <c r="F698" t="s">
        <v>15</v>
      </c>
      <c r="G698" t="s">
        <v>56</v>
      </c>
      <c r="H698">
        <v>135</v>
      </c>
      <c r="I698">
        <v>2018</v>
      </c>
      <c r="J698" t="s">
        <v>2555</v>
      </c>
      <c r="K698">
        <v>285967</v>
      </c>
      <c r="L698" s="1">
        <v>43234</v>
      </c>
      <c r="M698" s="1" t="s">
        <v>3165</v>
      </c>
      <c r="N698" t="s">
        <v>2556</v>
      </c>
      <c r="O698" t="s">
        <v>3149</v>
      </c>
    </row>
    <row r="699" spans="1:15" x14ac:dyDescent="0.3">
      <c r="A699" t="s">
        <v>2562</v>
      </c>
      <c r="B699">
        <v>10</v>
      </c>
      <c r="C699" s="1">
        <v>43621</v>
      </c>
      <c r="D699" t="s">
        <v>2563</v>
      </c>
      <c r="E699" t="s">
        <v>2564</v>
      </c>
      <c r="F699" t="s">
        <v>22</v>
      </c>
      <c r="G699" t="s">
        <v>329</v>
      </c>
      <c r="H699">
        <v>330</v>
      </c>
      <c r="I699">
        <v>2019</v>
      </c>
      <c r="J699" t="s">
        <v>240</v>
      </c>
      <c r="K699">
        <v>838610</v>
      </c>
      <c r="L699" s="1">
        <v>43591</v>
      </c>
      <c r="M699" s="1" t="s">
        <v>3165</v>
      </c>
      <c r="N699" t="s">
        <v>3219</v>
      </c>
      <c r="O699" t="s">
        <v>3149</v>
      </c>
    </row>
    <row r="700" spans="1:15" x14ac:dyDescent="0.3">
      <c r="A700" t="s">
        <v>2565</v>
      </c>
      <c r="B700">
        <v>7</v>
      </c>
      <c r="C700" s="1">
        <v>44204</v>
      </c>
      <c r="D700" t="s">
        <v>2566</v>
      </c>
      <c r="E700" t="s">
        <v>2567</v>
      </c>
      <c r="F700" t="s">
        <v>15</v>
      </c>
      <c r="G700" t="s">
        <v>198</v>
      </c>
      <c r="H700">
        <v>138</v>
      </c>
      <c r="I700">
        <v>2020</v>
      </c>
      <c r="J700" t="s">
        <v>123</v>
      </c>
      <c r="K700">
        <v>149204</v>
      </c>
      <c r="L700" s="1">
        <v>44084</v>
      </c>
      <c r="M700" s="1" t="s">
        <v>3165</v>
      </c>
      <c r="N700" t="s">
        <v>2568</v>
      </c>
      <c r="O700" t="s">
        <v>3149</v>
      </c>
    </row>
    <row r="701" spans="1:15" x14ac:dyDescent="0.3">
      <c r="A701" t="s">
        <v>2569</v>
      </c>
      <c r="B701">
        <v>7</v>
      </c>
      <c r="C701" s="1">
        <v>43763</v>
      </c>
      <c r="D701" t="s">
        <v>2570</v>
      </c>
      <c r="E701" t="s">
        <v>2571</v>
      </c>
      <c r="F701" t="s">
        <v>15</v>
      </c>
      <c r="G701" t="s">
        <v>379</v>
      </c>
      <c r="H701">
        <v>104</v>
      </c>
      <c r="I701">
        <v>2019</v>
      </c>
      <c r="J701" t="s">
        <v>2572</v>
      </c>
      <c r="K701">
        <v>4377</v>
      </c>
      <c r="L701" s="1">
        <v>43748</v>
      </c>
      <c r="M701" s="1" t="s">
        <v>3154</v>
      </c>
      <c r="N701" t="s">
        <v>2573</v>
      </c>
      <c r="O701" t="s">
        <v>3149</v>
      </c>
    </row>
    <row r="702" spans="1:15" x14ac:dyDescent="0.3">
      <c r="A702" t="s">
        <v>2578</v>
      </c>
      <c r="B702">
        <v>6</v>
      </c>
      <c r="C702" s="1">
        <v>44898</v>
      </c>
      <c r="D702" t="s">
        <v>2579</v>
      </c>
      <c r="E702" t="s">
        <v>2580</v>
      </c>
      <c r="F702" t="s">
        <v>15</v>
      </c>
      <c r="G702" t="s">
        <v>67</v>
      </c>
      <c r="H702">
        <v>130</v>
      </c>
      <c r="I702">
        <v>2021</v>
      </c>
      <c r="J702" t="s">
        <v>2581</v>
      </c>
      <c r="K702">
        <v>35128</v>
      </c>
      <c r="L702" s="1">
        <v>44482</v>
      </c>
      <c r="M702" s="1" t="s">
        <v>3171</v>
      </c>
      <c r="N702" t="s">
        <v>2582</v>
      </c>
      <c r="O702" t="s">
        <v>3149</v>
      </c>
    </row>
    <row r="703" spans="1:15" x14ac:dyDescent="0.3">
      <c r="A703" t="s">
        <v>2586</v>
      </c>
      <c r="B703">
        <v>6</v>
      </c>
      <c r="C703" s="1">
        <v>44993</v>
      </c>
      <c r="D703" t="s">
        <v>2587</v>
      </c>
      <c r="E703" t="s">
        <v>2588</v>
      </c>
      <c r="F703" t="s">
        <v>15</v>
      </c>
      <c r="G703" t="s">
        <v>158</v>
      </c>
      <c r="H703">
        <v>84</v>
      </c>
      <c r="I703">
        <v>2019</v>
      </c>
      <c r="J703" t="s">
        <v>2277</v>
      </c>
      <c r="K703">
        <v>45114</v>
      </c>
      <c r="L703" s="1">
        <v>43716</v>
      </c>
      <c r="M703" s="1" t="s">
        <v>3171</v>
      </c>
      <c r="N703" t="s">
        <v>2589</v>
      </c>
      <c r="O703" t="s">
        <v>3175</v>
      </c>
    </row>
    <row r="704" spans="1:15" x14ac:dyDescent="0.3">
      <c r="A704" t="s">
        <v>2593</v>
      </c>
      <c r="B704">
        <v>6</v>
      </c>
      <c r="C704" s="1">
        <v>44482</v>
      </c>
      <c r="D704" t="s">
        <v>2594</v>
      </c>
      <c r="E704" t="s">
        <v>2595</v>
      </c>
      <c r="F704" t="s">
        <v>47</v>
      </c>
      <c r="G704" t="s">
        <v>116</v>
      </c>
      <c r="H704">
        <v>30</v>
      </c>
      <c r="I704">
        <v>2017</v>
      </c>
      <c r="J704" t="s">
        <v>456</v>
      </c>
      <c r="K704">
        <v>23</v>
      </c>
      <c r="L704" s="1">
        <v>42937</v>
      </c>
      <c r="M704" s="1" t="s">
        <v>3154</v>
      </c>
      <c r="N704" t="s">
        <v>767</v>
      </c>
      <c r="O704" t="s">
        <v>3175</v>
      </c>
    </row>
    <row r="705" spans="1:15" x14ac:dyDescent="0.3">
      <c r="A705" t="s">
        <v>2599</v>
      </c>
      <c r="B705">
        <v>6</v>
      </c>
      <c r="C705" s="1">
        <v>43836</v>
      </c>
      <c r="D705" t="s">
        <v>2600</v>
      </c>
      <c r="E705" t="s">
        <v>2601</v>
      </c>
      <c r="F705" t="s">
        <v>15</v>
      </c>
      <c r="G705" t="s">
        <v>143</v>
      </c>
      <c r="H705">
        <v>137</v>
      </c>
      <c r="I705">
        <v>2019</v>
      </c>
      <c r="J705" t="s">
        <v>42</v>
      </c>
      <c r="K705">
        <v>338352</v>
      </c>
      <c r="L705" s="1">
        <v>43706</v>
      </c>
      <c r="M705" s="1" t="s">
        <v>3165</v>
      </c>
      <c r="N705" t="s">
        <v>1367</v>
      </c>
      <c r="O705" t="s">
        <v>3149</v>
      </c>
    </row>
    <row r="706" spans="1:15" x14ac:dyDescent="0.3">
      <c r="A706" t="s">
        <v>2606</v>
      </c>
      <c r="B706">
        <v>8</v>
      </c>
      <c r="C706" s="1">
        <v>44233</v>
      </c>
      <c r="D706" t="s">
        <v>2607</v>
      </c>
      <c r="E706" t="s">
        <v>2608</v>
      </c>
      <c r="F706" t="s">
        <v>15</v>
      </c>
      <c r="G706" t="s">
        <v>56</v>
      </c>
      <c r="H706">
        <v>112</v>
      </c>
      <c r="I706">
        <v>2017</v>
      </c>
      <c r="J706" t="s">
        <v>62</v>
      </c>
      <c r="K706">
        <v>7636</v>
      </c>
      <c r="L706" s="1">
        <v>43076</v>
      </c>
      <c r="M706" s="1" t="s">
        <v>3154</v>
      </c>
      <c r="N706" t="s">
        <v>1561</v>
      </c>
      <c r="O706" t="s">
        <v>3149</v>
      </c>
    </row>
    <row r="707" spans="1:15" x14ac:dyDescent="0.3">
      <c r="A707" t="s">
        <v>2612</v>
      </c>
      <c r="B707">
        <v>7</v>
      </c>
      <c r="C707" s="1">
        <v>45127</v>
      </c>
      <c r="D707" t="s">
        <v>2613</v>
      </c>
      <c r="E707" t="s">
        <v>2614</v>
      </c>
      <c r="F707" t="s">
        <v>15</v>
      </c>
      <c r="G707" t="s">
        <v>105</v>
      </c>
      <c r="H707">
        <v>109</v>
      </c>
      <c r="I707">
        <v>2020</v>
      </c>
      <c r="J707" t="s">
        <v>2615</v>
      </c>
      <c r="K707">
        <v>260221</v>
      </c>
      <c r="L707" s="1">
        <v>43855</v>
      </c>
      <c r="M707" s="1" t="s">
        <v>3165</v>
      </c>
      <c r="N707" t="s">
        <v>2616</v>
      </c>
      <c r="O707" t="s">
        <v>3175</v>
      </c>
    </row>
    <row r="708" spans="1:15" x14ac:dyDescent="0.3">
      <c r="A708" t="s">
        <v>2617</v>
      </c>
      <c r="B708">
        <v>4</v>
      </c>
      <c r="C708" s="1">
        <v>43941</v>
      </c>
      <c r="D708" t="s">
        <v>2618</v>
      </c>
      <c r="E708" t="s">
        <v>2619</v>
      </c>
      <c r="F708" t="s">
        <v>15</v>
      </c>
      <c r="G708" t="s">
        <v>198</v>
      </c>
      <c r="H708">
        <v>90</v>
      </c>
      <c r="I708">
        <v>2019</v>
      </c>
      <c r="J708" t="s">
        <v>2620</v>
      </c>
      <c r="K708">
        <v>624</v>
      </c>
      <c r="L708" s="1">
        <v>43531</v>
      </c>
      <c r="M708" s="1" t="s">
        <v>3154</v>
      </c>
      <c r="N708" t="s">
        <v>2621</v>
      </c>
      <c r="O708" t="s">
        <v>3175</v>
      </c>
    </row>
    <row r="709" spans="1:15" x14ac:dyDescent="0.3">
      <c r="A709" t="s">
        <v>2622</v>
      </c>
      <c r="B709">
        <v>7</v>
      </c>
      <c r="C709" s="1">
        <v>45102</v>
      </c>
      <c r="D709" t="s">
        <v>2623</v>
      </c>
      <c r="E709" t="s">
        <v>2624</v>
      </c>
      <c r="F709" t="s">
        <v>15</v>
      </c>
      <c r="G709" t="s">
        <v>95</v>
      </c>
      <c r="H709">
        <v>150</v>
      </c>
      <c r="I709">
        <v>2021</v>
      </c>
      <c r="J709" t="s">
        <v>123</v>
      </c>
      <c r="K709">
        <v>160988</v>
      </c>
      <c r="L709" s="1">
        <v>44531</v>
      </c>
      <c r="M709" s="1" t="s">
        <v>3165</v>
      </c>
      <c r="N709" t="s">
        <v>2008</v>
      </c>
      <c r="O709" t="s">
        <v>3149</v>
      </c>
    </row>
    <row r="710" spans="1:15" x14ac:dyDescent="0.3">
      <c r="A710" t="s">
        <v>2625</v>
      </c>
      <c r="B710">
        <v>6</v>
      </c>
      <c r="C710" s="1">
        <v>45169</v>
      </c>
      <c r="D710" t="s">
        <v>2626</v>
      </c>
      <c r="E710" t="s">
        <v>2627</v>
      </c>
      <c r="F710" t="s">
        <v>47</v>
      </c>
      <c r="G710" t="s">
        <v>158</v>
      </c>
      <c r="H710">
        <v>17</v>
      </c>
      <c r="I710">
        <v>2017</v>
      </c>
      <c r="J710" t="s">
        <v>2628</v>
      </c>
      <c r="K710">
        <v>14</v>
      </c>
      <c r="L710" s="1">
        <v>42886</v>
      </c>
      <c r="M710" s="1" t="s">
        <v>3154</v>
      </c>
      <c r="N710" t="s">
        <v>2629</v>
      </c>
      <c r="O710" t="s">
        <v>3175</v>
      </c>
    </row>
    <row r="711" spans="1:15" x14ac:dyDescent="0.3">
      <c r="A711" t="s">
        <v>2630</v>
      </c>
      <c r="B711">
        <v>8</v>
      </c>
      <c r="C711" s="1">
        <v>44634</v>
      </c>
      <c r="D711" t="s">
        <v>2631</v>
      </c>
      <c r="E711" t="s">
        <v>2632</v>
      </c>
      <c r="F711" t="s">
        <v>15</v>
      </c>
      <c r="G711" t="s">
        <v>73</v>
      </c>
      <c r="H711">
        <v>95</v>
      </c>
      <c r="I711">
        <v>2019</v>
      </c>
      <c r="J711" t="s">
        <v>2633</v>
      </c>
      <c r="K711">
        <v>2834</v>
      </c>
      <c r="L711" s="1">
        <v>43769</v>
      </c>
      <c r="M711" s="1" t="s">
        <v>3192</v>
      </c>
      <c r="N711" t="s">
        <v>2634</v>
      </c>
      <c r="O711" t="s">
        <v>3149</v>
      </c>
    </row>
    <row r="712" spans="1:15" x14ac:dyDescent="0.3">
      <c r="A712" t="s">
        <v>2635</v>
      </c>
      <c r="B712">
        <v>7</v>
      </c>
      <c r="C712" s="1">
        <v>44405</v>
      </c>
      <c r="D712" t="s">
        <v>2636</v>
      </c>
      <c r="E712" t="s">
        <v>2637</v>
      </c>
      <c r="F712" t="s">
        <v>15</v>
      </c>
      <c r="G712" t="s">
        <v>16</v>
      </c>
      <c r="H712">
        <v>127</v>
      </c>
      <c r="I712">
        <v>2018</v>
      </c>
      <c r="J712" t="s">
        <v>2277</v>
      </c>
      <c r="K712">
        <v>365338</v>
      </c>
      <c r="L712" s="1">
        <v>43121</v>
      </c>
      <c r="M712" s="1" t="s">
        <v>3165</v>
      </c>
      <c r="N712" t="s">
        <v>734</v>
      </c>
      <c r="O712" t="s">
        <v>3149</v>
      </c>
    </row>
    <row r="713" spans="1:15" x14ac:dyDescent="0.3">
      <c r="A713" t="s">
        <v>2638</v>
      </c>
      <c r="B713">
        <v>7</v>
      </c>
      <c r="C713" s="1">
        <v>45159</v>
      </c>
      <c r="D713" t="s">
        <v>2639</v>
      </c>
      <c r="E713" t="s">
        <v>2640</v>
      </c>
      <c r="F713" t="s">
        <v>15</v>
      </c>
      <c r="G713" t="s">
        <v>35</v>
      </c>
      <c r="H713">
        <v>95</v>
      </c>
      <c r="I713">
        <v>2019</v>
      </c>
      <c r="J713" t="s">
        <v>2641</v>
      </c>
      <c r="K713">
        <v>176234</v>
      </c>
      <c r="L713" s="1">
        <v>43536</v>
      </c>
      <c r="M713" s="1" t="s">
        <v>3165</v>
      </c>
      <c r="N713" t="s">
        <v>2642</v>
      </c>
      <c r="O713" t="s">
        <v>3149</v>
      </c>
    </row>
    <row r="714" spans="1:15" x14ac:dyDescent="0.3">
      <c r="A714" t="s">
        <v>2651</v>
      </c>
      <c r="B714">
        <v>9</v>
      </c>
      <c r="C714" s="1">
        <v>44393</v>
      </c>
      <c r="D714" t="s">
        <v>2652</v>
      </c>
      <c r="E714" t="s">
        <v>2653</v>
      </c>
      <c r="F714" t="s">
        <v>551</v>
      </c>
      <c r="G714" t="s">
        <v>29</v>
      </c>
      <c r="H714">
        <v>79</v>
      </c>
      <c r="I714">
        <v>2018</v>
      </c>
      <c r="J714" t="s">
        <v>235</v>
      </c>
      <c r="K714">
        <v>22930</v>
      </c>
      <c r="L714" s="1">
        <v>43172</v>
      </c>
      <c r="M714" s="1" t="s">
        <v>3171</v>
      </c>
      <c r="N714" t="s">
        <v>1224</v>
      </c>
      <c r="O714" t="s">
        <v>3149</v>
      </c>
    </row>
    <row r="715" spans="1:15" x14ac:dyDescent="0.3">
      <c r="A715" t="s">
        <v>2673</v>
      </c>
      <c r="B715">
        <v>9</v>
      </c>
      <c r="C715" s="1">
        <v>43859</v>
      </c>
      <c r="D715" t="s">
        <v>2674</v>
      </c>
      <c r="E715" t="s">
        <v>2675</v>
      </c>
      <c r="F715" t="s">
        <v>15</v>
      </c>
      <c r="G715" t="s">
        <v>61</v>
      </c>
      <c r="H715">
        <v>104</v>
      </c>
      <c r="I715">
        <v>2019</v>
      </c>
      <c r="J715" t="s">
        <v>261</v>
      </c>
      <c r="K715">
        <v>3808</v>
      </c>
      <c r="L715" s="1">
        <v>43650</v>
      </c>
      <c r="M715" s="1" t="s">
        <v>3154</v>
      </c>
      <c r="N715" t="s">
        <v>1220</v>
      </c>
      <c r="O715" t="s">
        <v>3149</v>
      </c>
    </row>
    <row r="716" spans="1:15" x14ac:dyDescent="0.3">
      <c r="A716" t="s">
        <v>2684</v>
      </c>
      <c r="B716">
        <v>6</v>
      </c>
      <c r="C716" s="1">
        <v>44553</v>
      </c>
      <c r="D716" t="s">
        <v>2685</v>
      </c>
      <c r="E716" t="s">
        <v>2686</v>
      </c>
      <c r="F716" t="s">
        <v>15</v>
      </c>
      <c r="G716" t="s">
        <v>524</v>
      </c>
      <c r="H716">
        <v>134</v>
      </c>
      <c r="I716">
        <v>2020</v>
      </c>
      <c r="J716" t="s">
        <v>117</v>
      </c>
      <c r="K716">
        <v>97709</v>
      </c>
      <c r="L716" s="1">
        <v>44071</v>
      </c>
      <c r="M716" s="1" t="s">
        <v>3165</v>
      </c>
      <c r="N716" t="s">
        <v>2687</v>
      </c>
      <c r="O716" t="s">
        <v>3149</v>
      </c>
    </row>
    <row r="717" spans="1:15" x14ac:dyDescent="0.3">
      <c r="A717" t="s">
        <v>2699</v>
      </c>
      <c r="B717">
        <v>7</v>
      </c>
      <c r="C717" s="1">
        <v>43840</v>
      </c>
      <c r="D717" t="s">
        <v>2700</v>
      </c>
      <c r="E717" t="s">
        <v>2701</v>
      </c>
      <c r="F717" t="s">
        <v>15</v>
      </c>
      <c r="G717" t="s">
        <v>148</v>
      </c>
      <c r="H717">
        <v>109</v>
      </c>
      <c r="I717">
        <v>2019</v>
      </c>
      <c r="J717" t="s">
        <v>159</v>
      </c>
      <c r="K717">
        <v>246452</v>
      </c>
      <c r="L717" s="1">
        <v>43604</v>
      </c>
      <c r="M717" s="1" t="s">
        <v>3165</v>
      </c>
      <c r="N717" t="s">
        <v>1935</v>
      </c>
      <c r="O717" t="s">
        <v>3149</v>
      </c>
    </row>
    <row r="718" spans="1:15" x14ac:dyDescent="0.3">
      <c r="A718" t="s">
        <v>2706</v>
      </c>
      <c r="B718">
        <v>6</v>
      </c>
      <c r="C718" s="1">
        <v>44910</v>
      </c>
      <c r="D718" t="s">
        <v>2707</v>
      </c>
      <c r="E718" t="s">
        <v>2708</v>
      </c>
      <c r="F718" t="s">
        <v>15</v>
      </c>
      <c r="G718" t="s">
        <v>35</v>
      </c>
      <c r="H718">
        <v>94</v>
      </c>
      <c r="I718">
        <v>2018</v>
      </c>
      <c r="J718" t="s">
        <v>467</v>
      </c>
      <c r="K718">
        <v>262</v>
      </c>
      <c r="L718" s="1">
        <v>43159</v>
      </c>
      <c r="M718" s="1" t="s">
        <v>3194</v>
      </c>
      <c r="N718" t="s">
        <v>2709</v>
      </c>
      <c r="O718" t="s">
        <v>3149</v>
      </c>
    </row>
    <row r="719" spans="1:15" x14ac:dyDescent="0.3">
      <c r="A719" t="s">
        <v>2716</v>
      </c>
      <c r="B719">
        <v>5</v>
      </c>
      <c r="C719" s="1">
        <v>44621</v>
      </c>
      <c r="D719" t="s">
        <v>2717</v>
      </c>
      <c r="E719" t="s">
        <v>2718</v>
      </c>
      <c r="F719" t="s">
        <v>15</v>
      </c>
      <c r="G719" t="s">
        <v>1170</v>
      </c>
      <c r="H719">
        <v>75</v>
      </c>
      <c r="I719">
        <v>2018</v>
      </c>
      <c r="J719" t="s">
        <v>17</v>
      </c>
      <c r="K719">
        <v>4234</v>
      </c>
      <c r="L719" s="1">
        <v>43352</v>
      </c>
      <c r="M719" s="1" t="s">
        <v>3155</v>
      </c>
      <c r="N719" t="s">
        <v>1019</v>
      </c>
      <c r="O719" t="s">
        <v>3149</v>
      </c>
    </row>
    <row r="720" spans="1:15" x14ac:dyDescent="0.3">
      <c r="A720" t="s">
        <v>2719</v>
      </c>
      <c r="B720">
        <v>6</v>
      </c>
      <c r="C720" s="1">
        <v>43834</v>
      </c>
      <c r="D720" t="s">
        <v>2720</v>
      </c>
      <c r="E720" t="s">
        <v>2721</v>
      </c>
      <c r="F720" t="s">
        <v>15</v>
      </c>
      <c r="G720" t="s">
        <v>67</v>
      </c>
      <c r="H720">
        <v>116</v>
      </c>
      <c r="I720">
        <v>2019</v>
      </c>
      <c r="J720" t="s">
        <v>2722</v>
      </c>
      <c r="K720">
        <v>163308</v>
      </c>
      <c r="L720" s="1">
        <v>43589</v>
      </c>
      <c r="M720" s="1" t="s">
        <v>3171</v>
      </c>
      <c r="N720" t="s">
        <v>483</v>
      </c>
      <c r="O720" t="s">
        <v>3149</v>
      </c>
    </row>
    <row r="721" spans="1:15" x14ac:dyDescent="0.3">
      <c r="A721" t="s">
        <v>2732</v>
      </c>
      <c r="B721">
        <v>7</v>
      </c>
      <c r="C721" s="1">
        <v>44724</v>
      </c>
      <c r="D721" t="s">
        <v>2733</v>
      </c>
      <c r="E721" t="s">
        <v>2734</v>
      </c>
      <c r="F721" t="s">
        <v>15</v>
      </c>
      <c r="G721" t="s">
        <v>95</v>
      </c>
      <c r="H721">
        <v>100</v>
      </c>
      <c r="I721">
        <v>2022</v>
      </c>
      <c r="J721" t="s">
        <v>645</v>
      </c>
      <c r="K721">
        <v>145663</v>
      </c>
      <c r="L721" s="1">
        <v>44621</v>
      </c>
      <c r="M721" s="1" t="s">
        <v>3165</v>
      </c>
      <c r="N721" t="s">
        <v>2735</v>
      </c>
      <c r="O721" t="s">
        <v>3175</v>
      </c>
    </row>
    <row r="722" spans="1:15" x14ac:dyDescent="0.3">
      <c r="A722" t="s">
        <v>2743</v>
      </c>
      <c r="B722">
        <v>7</v>
      </c>
      <c r="C722" s="1">
        <v>44814</v>
      </c>
      <c r="D722" t="s">
        <v>2744</v>
      </c>
      <c r="E722" t="s">
        <v>2745</v>
      </c>
      <c r="F722" t="s">
        <v>15</v>
      </c>
      <c r="G722" t="s">
        <v>1170</v>
      </c>
      <c r="H722">
        <v>169</v>
      </c>
      <c r="I722">
        <v>2021</v>
      </c>
      <c r="J722" t="s">
        <v>42</v>
      </c>
      <c r="K722">
        <v>2601</v>
      </c>
      <c r="L722" s="1">
        <v>44391</v>
      </c>
      <c r="M722" s="1" t="s">
        <v>3192</v>
      </c>
      <c r="N722" t="s">
        <v>2240</v>
      </c>
      <c r="O722" t="s">
        <v>3175</v>
      </c>
    </row>
    <row r="723" spans="1:15" x14ac:dyDescent="0.3">
      <c r="A723" t="s">
        <v>2746</v>
      </c>
      <c r="B723">
        <v>7</v>
      </c>
      <c r="C723" s="1">
        <v>44230</v>
      </c>
      <c r="D723" t="s">
        <v>2747</v>
      </c>
      <c r="E723" t="s">
        <v>2748</v>
      </c>
      <c r="F723" t="s">
        <v>15</v>
      </c>
      <c r="G723" t="s">
        <v>524</v>
      </c>
      <c r="H723">
        <v>102</v>
      </c>
      <c r="I723">
        <v>2019</v>
      </c>
      <c r="J723" t="s">
        <v>389</v>
      </c>
      <c r="K723">
        <v>1176</v>
      </c>
      <c r="L723" s="1">
        <v>43662</v>
      </c>
      <c r="M723" s="1" t="s">
        <v>3154</v>
      </c>
      <c r="N723" t="s">
        <v>2749</v>
      </c>
      <c r="O723" t="s">
        <v>3149</v>
      </c>
    </row>
    <row r="724" spans="1:15" x14ac:dyDescent="0.3">
      <c r="A724" t="s">
        <v>2750</v>
      </c>
      <c r="B724">
        <v>6</v>
      </c>
      <c r="C724" s="1">
        <v>44514</v>
      </c>
      <c r="D724" t="s">
        <v>2751</v>
      </c>
      <c r="E724" t="s">
        <v>2752</v>
      </c>
      <c r="F724" t="s">
        <v>15</v>
      </c>
      <c r="G724" t="s">
        <v>198</v>
      </c>
      <c r="H724">
        <v>108</v>
      </c>
      <c r="I724">
        <v>2019</v>
      </c>
      <c r="J724" t="s">
        <v>2555</v>
      </c>
      <c r="K724">
        <v>42929</v>
      </c>
      <c r="L724" s="1">
        <v>43716</v>
      </c>
      <c r="M724" s="1" t="s">
        <v>3165</v>
      </c>
      <c r="N724" t="s">
        <v>2753</v>
      </c>
      <c r="O724" t="s">
        <v>3149</v>
      </c>
    </row>
    <row r="725" spans="1:15" x14ac:dyDescent="0.3">
      <c r="A725" t="s">
        <v>2754</v>
      </c>
      <c r="B725">
        <v>8</v>
      </c>
      <c r="C725" s="1">
        <v>44521</v>
      </c>
      <c r="D725" t="s">
        <v>2755</v>
      </c>
      <c r="E725" t="s">
        <v>2756</v>
      </c>
      <c r="F725" t="s">
        <v>15</v>
      </c>
      <c r="G725" t="s">
        <v>95</v>
      </c>
      <c r="H725">
        <v>94</v>
      </c>
      <c r="I725">
        <v>2019</v>
      </c>
      <c r="J725" t="s">
        <v>2757</v>
      </c>
      <c r="K725">
        <v>262395</v>
      </c>
      <c r="L725" s="1">
        <v>43714</v>
      </c>
      <c r="M725" s="1" t="s">
        <v>3159</v>
      </c>
      <c r="N725" t="s">
        <v>2758</v>
      </c>
      <c r="O725" t="s">
        <v>3149</v>
      </c>
    </row>
    <row r="726" spans="1:15" x14ac:dyDescent="0.3">
      <c r="A726" t="s">
        <v>2762</v>
      </c>
      <c r="B726">
        <v>6</v>
      </c>
      <c r="C726" s="1">
        <v>44821</v>
      </c>
      <c r="D726" t="s">
        <v>2763</v>
      </c>
      <c r="E726" t="s">
        <v>2764</v>
      </c>
      <c r="F726" t="s">
        <v>15</v>
      </c>
      <c r="G726" t="s">
        <v>148</v>
      </c>
      <c r="H726">
        <v>100</v>
      </c>
      <c r="I726">
        <v>2021</v>
      </c>
      <c r="J726" t="s">
        <v>1822</v>
      </c>
      <c r="K726">
        <v>1382</v>
      </c>
      <c r="L726" s="1">
        <v>44348</v>
      </c>
      <c r="M726" s="1" t="s">
        <v>3154</v>
      </c>
      <c r="N726" t="s">
        <v>2765</v>
      </c>
      <c r="O726" t="s">
        <v>3149</v>
      </c>
    </row>
    <row r="727" spans="1:15" x14ac:dyDescent="0.3">
      <c r="A727" t="s">
        <v>2770</v>
      </c>
      <c r="B727">
        <v>2</v>
      </c>
      <c r="C727" s="1">
        <v>43683</v>
      </c>
      <c r="D727" t="s">
        <v>2771</v>
      </c>
      <c r="E727" t="s">
        <v>2772</v>
      </c>
      <c r="F727" t="s">
        <v>15</v>
      </c>
      <c r="G727" t="s">
        <v>882</v>
      </c>
      <c r="H727">
        <v>106</v>
      </c>
      <c r="I727">
        <v>2019</v>
      </c>
      <c r="J727" t="s">
        <v>738</v>
      </c>
      <c r="K727">
        <v>85337</v>
      </c>
      <c r="L727" s="1">
        <v>43633</v>
      </c>
      <c r="M727" s="1" t="s">
        <v>3165</v>
      </c>
      <c r="N727" t="s">
        <v>2773</v>
      </c>
      <c r="O727" t="s">
        <v>3149</v>
      </c>
    </row>
    <row r="728" spans="1:15" x14ac:dyDescent="0.3">
      <c r="A728" t="s">
        <v>2774</v>
      </c>
      <c r="B728">
        <v>6</v>
      </c>
      <c r="C728" s="1">
        <v>44124</v>
      </c>
      <c r="D728" t="s">
        <v>2775</v>
      </c>
      <c r="E728" t="s">
        <v>2776</v>
      </c>
      <c r="F728" t="s">
        <v>15</v>
      </c>
      <c r="G728" t="s">
        <v>158</v>
      </c>
      <c r="H728">
        <v>80</v>
      </c>
      <c r="I728">
        <v>2018</v>
      </c>
      <c r="J728" t="s">
        <v>261</v>
      </c>
      <c r="K728">
        <v>304</v>
      </c>
      <c r="L728" s="1">
        <v>43296</v>
      </c>
      <c r="M728" s="1" t="s">
        <v>3154</v>
      </c>
      <c r="N728" t="s">
        <v>2777</v>
      </c>
      <c r="O728" t="s">
        <v>3175</v>
      </c>
    </row>
    <row r="729" spans="1:15" x14ac:dyDescent="0.3">
      <c r="A729" t="s">
        <v>2778</v>
      </c>
      <c r="B729">
        <v>7</v>
      </c>
      <c r="C729" s="1">
        <v>44318</v>
      </c>
      <c r="D729" t="s">
        <v>2779</v>
      </c>
      <c r="E729" t="s">
        <v>2780</v>
      </c>
      <c r="F729" t="s">
        <v>15</v>
      </c>
      <c r="G729" t="s">
        <v>35</v>
      </c>
      <c r="H729">
        <v>97</v>
      </c>
      <c r="I729">
        <v>2018</v>
      </c>
      <c r="J729" t="s">
        <v>2781</v>
      </c>
      <c r="K729">
        <v>77282</v>
      </c>
      <c r="L729" s="1">
        <v>43233</v>
      </c>
      <c r="M729" s="1" t="s">
        <v>3155</v>
      </c>
      <c r="N729" t="s">
        <v>118</v>
      </c>
      <c r="O729" t="s">
        <v>3149</v>
      </c>
    </row>
    <row r="730" spans="1:15" x14ac:dyDescent="0.3">
      <c r="A730" t="s">
        <v>2782</v>
      </c>
      <c r="B730">
        <v>6</v>
      </c>
      <c r="C730" s="1">
        <v>44741</v>
      </c>
      <c r="D730" t="s">
        <v>2783</v>
      </c>
      <c r="E730" t="s">
        <v>2784</v>
      </c>
      <c r="F730" t="s">
        <v>15</v>
      </c>
      <c r="G730" t="s">
        <v>882</v>
      </c>
      <c r="H730">
        <v>86</v>
      </c>
      <c r="I730">
        <v>2019</v>
      </c>
      <c r="J730" t="s">
        <v>178</v>
      </c>
      <c r="K730">
        <v>1926</v>
      </c>
      <c r="L730" s="1">
        <v>43742</v>
      </c>
      <c r="M730" s="1" t="s">
        <v>3171</v>
      </c>
      <c r="N730" t="s">
        <v>2785</v>
      </c>
      <c r="O730" t="s">
        <v>3175</v>
      </c>
    </row>
    <row r="731" spans="1:15" x14ac:dyDescent="0.3">
      <c r="A731" t="s">
        <v>2786</v>
      </c>
      <c r="B731">
        <v>9</v>
      </c>
      <c r="C731" s="1">
        <v>43873</v>
      </c>
      <c r="D731" t="s">
        <v>2787</v>
      </c>
      <c r="E731" t="s">
        <v>2788</v>
      </c>
      <c r="F731" t="s">
        <v>15</v>
      </c>
      <c r="G731" t="s">
        <v>61</v>
      </c>
      <c r="H731">
        <v>113</v>
      </c>
      <c r="I731">
        <v>2019</v>
      </c>
      <c r="J731" t="s">
        <v>2789</v>
      </c>
      <c r="K731">
        <v>379036</v>
      </c>
      <c r="L731" s="1">
        <v>43802</v>
      </c>
      <c r="M731" s="1" t="s">
        <v>3165</v>
      </c>
      <c r="N731" t="s">
        <v>2790</v>
      </c>
      <c r="O731" t="s">
        <v>3149</v>
      </c>
    </row>
    <row r="732" spans="1:15" x14ac:dyDescent="0.3">
      <c r="A732" t="s">
        <v>2791</v>
      </c>
      <c r="B732">
        <v>7</v>
      </c>
      <c r="C732" s="1">
        <v>45192</v>
      </c>
      <c r="D732" t="s">
        <v>2792</v>
      </c>
      <c r="E732" t="s">
        <v>2793</v>
      </c>
      <c r="F732" t="s">
        <v>15</v>
      </c>
      <c r="G732" t="s">
        <v>882</v>
      </c>
      <c r="H732">
        <v>97</v>
      </c>
      <c r="I732">
        <v>2019</v>
      </c>
      <c r="J732" t="s">
        <v>2794</v>
      </c>
      <c r="K732">
        <v>71311</v>
      </c>
      <c r="L732" s="1">
        <v>43603</v>
      </c>
      <c r="M732" s="1" t="s">
        <v>3176</v>
      </c>
      <c r="N732" t="s">
        <v>2795</v>
      </c>
      <c r="O732" t="s">
        <v>3149</v>
      </c>
    </row>
    <row r="733" spans="1:15" x14ac:dyDescent="0.3">
      <c r="A733" t="s">
        <v>2799</v>
      </c>
      <c r="B733">
        <v>8</v>
      </c>
      <c r="C733" s="1">
        <v>43834</v>
      </c>
      <c r="D733" t="s">
        <v>2800</v>
      </c>
      <c r="E733" t="s">
        <v>2801</v>
      </c>
      <c r="F733" t="s">
        <v>15</v>
      </c>
      <c r="G733" t="s">
        <v>41</v>
      </c>
      <c r="H733">
        <v>125</v>
      </c>
      <c r="I733">
        <v>2019</v>
      </c>
      <c r="J733" t="s">
        <v>204</v>
      </c>
      <c r="K733">
        <v>131263</v>
      </c>
      <c r="L733" s="1">
        <v>43708</v>
      </c>
      <c r="M733" s="1" t="s">
        <v>3165</v>
      </c>
      <c r="N733" t="s">
        <v>2802</v>
      </c>
      <c r="O733" t="s">
        <v>3149</v>
      </c>
    </row>
    <row r="734" spans="1:15" x14ac:dyDescent="0.3">
      <c r="A734" t="s">
        <v>2827</v>
      </c>
      <c r="B734">
        <v>8</v>
      </c>
      <c r="C734" s="1">
        <v>44791</v>
      </c>
      <c r="D734" t="s">
        <v>2828</v>
      </c>
      <c r="E734" t="s">
        <v>2829</v>
      </c>
      <c r="F734" t="s">
        <v>15</v>
      </c>
      <c r="G734" t="s">
        <v>187</v>
      </c>
      <c r="H734">
        <v>160</v>
      </c>
      <c r="I734">
        <v>2020</v>
      </c>
      <c r="J734" t="s">
        <v>2830</v>
      </c>
      <c r="K734">
        <v>109325</v>
      </c>
      <c r="L734" s="1">
        <v>44015</v>
      </c>
      <c r="M734" s="1" t="s">
        <v>3165</v>
      </c>
      <c r="N734" t="s">
        <v>2831</v>
      </c>
      <c r="O734" t="s">
        <v>3149</v>
      </c>
    </row>
    <row r="735" spans="1:15" x14ac:dyDescent="0.3">
      <c r="A735" t="s">
        <v>2832</v>
      </c>
      <c r="B735">
        <v>5</v>
      </c>
      <c r="C735" s="1">
        <v>43835</v>
      </c>
      <c r="D735" s="3" t="s">
        <v>2833</v>
      </c>
      <c r="E735" t="s">
        <v>2834</v>
      </c>
      <c r="F735" t="s">
        <v>15</v>
      </c>
      <c r="G735" t="s">
        <v>163</v>
      </c>
      <c r="H735">
        <v>70</v>
      </c>
      <c r="I735">
        <v>2018</v>
      </c>
      <c r="J735" t="s">
        <v>2835</v>
      </c>
      <c r="K735">
        <v>58</v>
      </c>
      <c r="L735" s="1">
        <v>43249</v>
      </c>
      <c r="M735" s="1" t="s">
        <v>3154</v>
      </c>
      <c r="N735" t="s">
        <v>413</v>
      </c>
      <c r="O735" t="s">
        <v>3149</v>
      </c>
    </row>
    <row r="736" spans="1:15" x14ac:dyDescent="0.3">
      <c r="A736" t="s">
        <v>2836</v>
      </c>
      <c r="B736">
        <v>6</v>
      </c>
      <c r="C736" s="1">
        <v>45255</v>
      </c>
      <c r="D736" t="s">
        <v>2837</v>
      </c>
      <c r="E736" t="s">
        <v>2838</v>
      </c>
      <c r="F736" t="s">
        <v>216</v>
      </c>
      <c r="G736" t="s">
        <v>84</v>
      </c>
      <c r="H736">
        <v>300</v>
      </c>
      <c r="I736">
        <v>2020</v>
      </c>
      <c r="J736" t="s">
        <v>17</v>
      </c>
      <c r="K736">
        <v>15488</v>
      </c>
      <c r="L736" s="1">
        <v>43875</v>
      </c>
      <c r="M736" s="1" t="s">
        <v>3165</v>
      </c>
      <c r="N736" t="s">
        <v>25</v>
      </c>
      <c r="O736" t="s">
        <v>3149</v>
      </c>
    </row>
    <row r="737" spans="1:15" x14ac:dyDescent="0.3">
      <c r="A737" t="s">
        <v>2842</v>
      </c>
      <c r="B737">
        <v>8</v>
      </c>
      <c r="C737" s="1">
        <v>43869</v>
      </c>
      <c r="D737" s="3" t="s">
        <v>2843</v>
      </c>
      <c r="E737" t="s">
        <v>2844</v>
      </c>
      <c r="F737" t="s">
        <v>15</v>
      </c>
      <c r="G737" t="s">
        <v>369</v>
      </c>
      <c r="H737">
        <v>119</v>
      </c>
      <c r="I737">
        <v>2019</v>
      </c>
      <c r="J737" t="s">
        <v>62</v>
      </c>
      <c r="K737">
        <v>656475</v>
      </c>
      <c r="L737" s="1">
        <v>43803</v>
      </c>
      <c r="M737" s="1" t="s">
        <v>3171</v>
      </c>
      <c r="N737" t="s">
        <v>1048</v>
      </c>
      <c r="O737" t="s">
        <v>3149</v>
      </c>
    </row>
    <row r="738" spans="1:15" x14ac:dyDescent="0.3">
      <c r="A738" t="s">
        <v>2845</v>
      </c>
      <c r="B738">
        <v>8</v>
      </c>
      <c r="C738" s="1">
        <v>44011</v>
      </c>
      <c r="D738" t="s">
        <v>2846</v>
      </c>
      <c r="E738" t="s">
        <v>2847</v>
      </c>
      <c r="F738" t="s">
        <v>15</v>
      </c>
      <c r="G738" t="s">
        <v>73</v>
      </c>
      <c r="H738">
        <v>123</v>
      </c>
      <c r="I738">
        <v>2020</v>
      </c>
      <c r="J738" t="s">
        <v>1659</v>
      </c>
      <c r="K738">
        <v>100813</v>
      </c>
      <c r="L738" s="1">
        <v>44008</v>
      </c>
      <c r="M738" s="1" t="s">
        <v>3165</v>
      </c>
      <c r="N738" t="s">
        <v>2848</v>
      </c>
      <c r="O738" t="s">
        <v>3149</v>
      </c>
    </row>
    <row r="739" spans="1:15" x14ac:dyDescent="0.3">
      <c r="A739" t="s">
        <v>2849</v>
      </c>
      <c r="B739">
        <v>7</v>
      </c>
      <c r="C739" s="1">
        <v>44594</v>
      </c>
      <c r="D739" t="s">
        <v>2850</v>
      </c>
      <c r="E739" t="s">
        <v>2851</v>
      </c>
      <c r="F739" t="s">
        <v>15</v>
      </c>
      <c r="G739" t="s">
        <v>105</v>
      </c>
      <c r="H739">
        <v>88</v>
      </c>
      <c r="I739">
        <v>2020</v>
      </c>
      <c r="J739" t="s">
        <v>225</v>
      </c>
      <c r="K739">
        <v>9116</v>
      </c>
      <c r="L739" s="1">
        <v>44092</v>
      </c>
      <c r="M739" s="1" t="s">
        <v>3165</v>
      </c>
      <c r="N739" t="s">
        <v>977</v>
      </c>
      <c r="O739" t="s">
        <v>3149</v>
      </c>
    </row>
    <row r="740" spans="1:15" x14ac:dyDescent="0.3">
      <c r="A740" t="s">
        <v>2852</v>
      </c>
      <c r="B740">
        <v>7</v>
      </c>
      <c r="C740" s="1">
        <v>44641</v>
      </c>
      <c r="D740" t="s">
        <v>2853</v>
      </c>
      <c r="E740" t="s">
        <v>2854</v>
      </c>
      <c r="F740" t="s">
        <v>15</v>
      </c>
      <c r="G740" t="s">
        <v>334</v>
      </c>
      <c r="H740">
        <v>122</v>
      </c>
      <c r="I740">
        <v>2019</v>
      </c>
      <c r="J740" t="s">
        <v>42</v>
      </c>
      <c r="K740">
        <v>105723</v>
      </c>
      <c r="L740" s="1">
        <v>43604</v>
      </c>
      <c r="M740" s="1" t="s">
        <v>3155</v>
      </c>
      <c r="N740" t="s">
        <v>685</v>
      </c>
      <c r="O740" t="s">
        <v>3175</v>
      </c>
    </row>
    <row r="741" spans="1:15" x14ac:dyDescent="0.3">
      <c r="A741" t="s">
        <v>2859</v>
      </c>
      <c r="B741">
        <v>6</v>
      </c>
      <c r="C741" s="1">
        <v>44225</v>
      </c>
      <c r="D741" t="s">
        <v>2860</v>
      </c>
      <c r="E741" t="s">
        <v>2861</v>
      </c>
      <c r="F741" t="s">
        <v>15</v>
      </c>
      <c r="G741" t="s">
        <v>158</v>
      </c>
      <c r="H741">
        <v>98</v>
      </c>
      <c r="I741">
        <v>2019</v>
      </c>
      <c r="J741" t="s">
        <v>261</v>
      </c>
      <c r="K741">
        <v>5075</v>
      </c>
      <c r="L741" s="1">
        <v>43602</v>
      </c>
      <c r="M741" s="1" t="s">
        <v>3165</v>
      </c>
      <c r="N741" t="s">
        <v>2862</v>
      </c>
      <c r="O741" t="s">
        <v>3149</v>
      </c>
    </row>
    <row r="742" spans="1:15" x14ac:dyDescent="0.3">
      <c r="A742" t="s">
        <v>2875</v>
      </c>
      <c r="B742">
        <v>6</v>
      </c>
      <c r="C742" s="1">
        <v>44622</v>
      </c>
      <c r="D742" t="s">
        <v>2876</v>
      </c>
      <c r="E742" t="s">
        <v>2877</v>
      </c>
      <c r="F742" t="s">
        <v>15</v>
      </c>
      <c r="G742" t="s">
        <v>56</v>
      </c>
      <c r="H742">
        <v>115</v>
      </c>
      <c r="I742">
        <v>2021</v>
      </c>
      <c r="J742" t="s">
        <v>2878</v>
      </c>
      <c r="K742">
        <v>117052</v>
      </c>
      <c r="L742" s="1">
        <v>44510</v>
      </c>
      <c r="M742" s="1" t="s">
        <v>3165</v>
      </c>
      <c r="N742" t="s">
        <v>2879</v>
      </c>
      <c r="O742" t="s">
        <v>3149</v>
      </c>
    </row>
    <row r="743" spans="1:15" x14ac:dyDescent="0.3">
      <c r="A743" t="s">
        <v>2880</v>
      </c>
      <c r="B743">
        <v>6</v>
      </c>
      <c r="C743" s="1">
        <v>45154</v>
      </c>
      <c r="D743" t="s">
        <v>2881</v>
      </c>
      <c r="E743" t="s">
        <v>2882</v>
      </c>
      <c r="F743" t="s">
        <v>22</v>
      </c>
      <c r="G743" t="s">
        <v>143</v>
      </c>
      <c r="H743">
        <v>402</v>
      </c>
      <c r="I743">
        <v>2019</v>
      </c>
      <c r="J743" t="s">
        <v>74</v>
      </c>
      <c r="K743">
        <v>7168</v>
      </c>
      <c r="L743" s="1">
        <v>43564</v>
      </c>
      <c r="M743" s="1" t="s">
        <v>3165</v>
      </c>
      <c r="N743" t="s">
        <v>3216</v>
      </c>
      <c r="O743" t="s">
        <v>3149</v>
      </c>
    </row>
    <row r="744" spans="1:15" x14ac:dyDescent="0.3">
      <c r="A744" t="s">
        <v>2883</v>
      </c>
      <c r="B744">
        <v>6</v>
      </c>
      <c r="C744" s="1">
        <v>44488</v>
      </c>
      <c r="D744" t="s">
        <v>2884</v>
      </c>
      <c r="E744" t="s">
        <v>2885</v>
      </c>
      <c r="F744" t="s">
        <v>47</v>
      </c>
      <c r="G744" t="s">
        <v>61</v>
      </c>
      <c r="H744">
        <v>30</v>
      </c>
      <c r="I744">
        <v>2018</v>
      </c>
      <c r="J744" t="s">
        <v>48</v>
      </c>
      <c r="K744">
        <v>9</v>
      </c>
      <c r="L744" s="1">
        <v>43299</v>
      </c>
      <c r="M744" s="1" t="s">
        <v>3154</v>
      </c>
      <c r="N744" t="s">
        <v>2886</v>
      </c>
      <c r="O744" t="s">
        <v>3175</v>
      </c>
    </row>
    <row r="745" spans="1:15" x14ac:dyDescent="0.3">
      <c r="A745" t="s">
        <v>2887</v>
      </c>
      <c r="B745">
        <v>7</v>
      </c>
      <c r="C745" s="1">
        <v>44944</v>
      </c>
      <c r="D745" t="s">
        <v>2888</v>
      </c>
      <c r="E745" t="s">
        <v>2889</v>
      </c>
      <c r="F745" t="s">
        <v>15</v>
      </c>
      <c r="G745" t="s">
        <v>198</v>
      </c>
      <c r="H745">
        <v>148</v>
      </c>
      <c r="I745">
        <v>2019</v>
      </c>
      <c r="J745" t="s">
        <v>2277</v>
      </c>
      <c r="K745">
        <v>384282</v>
      </c>
      <c r="L745" s="1">
        <v>43640</v>
      </c>
      <c r="M745" s="1" t="s">
        <v>3165</v>
      </c>
      <c r="N745" t="s">
        <v>734</v>
      </c>
      <c r="O745" t="s">
        <v>3149</v>
      </c>
    </row>
    <row r="746" spans="1:15" x14ac:dyDescent="0.3">
      <c r="A746" t="s">
        <v>2890</v>
      </c>
      <c r="B746">
        <v>8</v>
      </c>
      <c r="C746" s="1">
        <v>43685</v>
      </c>
      <c r="D746" t="s">
        <v>2891</v>
      </c>
      <c r="E746" t="s">
        <v>2892</v>
      </c>
      <c r="F746" t="s">
        <v>216</v>
      </c>
      <c r="G746" t="s">
        <v>187</v>
      </c>
      <c r="H746">
        <f>8*55</f>
        <v>440</v>
      </c>
      <c r="I746">
        <v>2019</v>
      </c>
      <c r="J746" t="s">
        <v>24</v>
      </c>
      <c r="K746">
        <v>226631</v>
      </c>
      <c r="L746" s="1">
        <v>43632</v>
      </c>
      <c r="M746" s="1" t="s">
        <v>3165</v>
      </c>
      <c r="N746" t="s">
        <v>629</v>
      </c>
      <c r="O746" t="s">
        <v>3149</v>
      </c>
    </row>
    <row r="747" spans="1:15" x14ac:dyDescent="0.3">
      <c r="A747" t="s">
        <v>2908</v>
      </c>
      <c r="B747">
        <v>8</v>
      </c>
      <c r="C747" s="1">
        <v>44558</v>
      </c>
      <c r="D747" t="s">
        <v>2909</v>
      </c>
      <c r="E747" t="s">
        <v>2910</v>
      </c>
      <c r="F747" t="s">
        <v>15</v>
      </c>
      <c r="G747" t="s">
        <v>198</v>
      </c>
      <c r="H747">
        <v>107</v>
      </c>
      <c r="I747">
        <v>2021</v>
      </c>
      <c r="J747" t="s">
        <v>17</v>
      </c>
      <c r="K747">
        <v>146046</v>
      </c>
      <c r="L747" s="1">
        <v>44389</v>
      </c>
      <c r="M747" s="1" t="s">
        <v>3165</v>
      </c>
      <c r="N747" t="s">
        <v>298</v>
      </c>
      <c r="O747" t="s">
        <v>3149</v>
      </c>
    </row>
    <row r="748" spans="1:15" x14ac:dyDescent="0.3">
      <c r="A748" t="s">
        <v>2911</v>
      </c>
      <c r="B748">
        <v>6</v>
      </c>
      <c r="C748" s="1">
        <v>44071</v>
      </c>
      <c r="D748" t="s">
        <v>2912</v>
      </c>
      <c r="E748" t="s">
        <v>2913</v>
      </c>
      <c r="F748" t="s">
        <v>15</v>
      </c>
      <c r="G748" t="s">
        <v>461</v>
      </c>
      <c r="H748">
        <v>116</v>
      </c>
      <c r="I748">
        <v>2020</v>
      </c>
      <c r="J748" t="s">
        <v>2914</v>
      </c>
      <c r="K748">
        <v>36833</v>
      </c>
      <c r="L748" s="1">
        <v>44027</v>
      </c>
      <c r="M748" s="1" t="s">
        <v>3197</v>
      </c>
      <c r="N748" t="s">
        <v>2915</v>
      </c>
      <c r="O748" t="s">
        <v>3149</v>
      </c>
    </row>
    <row r="749" spans="1:15" x14ac:dyDescent="0.3">
      <c r="A749" t="s">
        <v>2927</v>
      </c>
      <c r="B749">
        <v>7</v>
      </c>
      <c r="C749" s="1">
        <v>44424</v>
      </c>
      <c r="D749" t="s">
        <v>2928</v>
      </c>
      <c r="E749" t="s">
        <v>2929</v>
      </c>
      <c r="F749" t="s">
        <v>15</v>
      </c>
      <c r="G749" t="s">
        <v>116</v>
      </c>
      <c r="H749">
        <v>96</v>
      </c>
      <c r="I749">
        <v>2020</v>
      </c>
      <c r="J749" t="s">
        <v>24</v>
      </c>
      <c r="K749">
        <v>129</v>
      </c>
      <c r="L749" s="1">
        <v>44125</v>
      </c>
      <c r="M749" s="1" t="s">
        <v>3180</v>
      </c>
      <c r="N749" t="s">
        <v>2930</v>
      </c>
      <c r="O749" t="s">
        <v>3149</v>
      </c>
    </row>
    <row r="750" spans="1:15" x14ac:dyDescent="0.3">
      <c r="A750" t="s">
        <v>2931</v>
      </c>
      <c r="B750">
        <v>7</v>
      </c>
      <c r="C750" s="1">
        <v>43951</v>
      </c>
      <c r="D750" t="s">
        <v>2932</v>
      </c>
      <c r="E750" t="s">
        <v>2933</v>
      </c>
      <c r="F750" t="s">
        <v>15</v>
      </c>
      <c r="G750" t="s">
        <v>143</v>
      </c>
      <c r="H750">
        <v>130</v>
      </c>
      <c r="I750">
        <v>2019</v>
      </c>
      <c r="J750" t="s">
        <v>2934</v>
      </c>
      <c r="K750">
        <v>753143</v>
      </c>
      <c r="L750" s="1">
        <v>43715</v>
      </c>
      <c r="M750" s="1" t="s">
        <v>3165</v>
      </c>
      <c r="N750" t="s">
        <v>2935</v>
      </c>
      <c r="O750" t="s">
        <v>3149</v>
      </c>
    </row>
    <row r="751" spans="1:15" x14ac:dyDescent="0.3">
      <c r="A751" t="s">
        <v>2936</v>
      </c>
      <c r="B751">
        <v>8</v>
      </c>
      <c r="C751" s="1">
        <v>45179</v>
      </c>
      <c r="D751" t="s">
        <v>2937</v>
      </c>
      <c r="E751" t="s">
        <v>2938</v>
      </c>
      <c r="F751" t="s">
        <v>15</v>
      </c>
      <c r="G751" t="s">
        <v>41</v>
      </c>
      <c r="H751">
        <v>113</v>
      </c>
      <c r="I751">
        <v>2019</v>
      </c>
      <c r="J751" t="s">
        <v>42</v>
      </c>
      <c r="K751">
        <v>14122</v>
      </c>
      <c r="L751" s="1">
        <v>43601</v>
      </c>
      <c r="M751" s="1" t="s">
        <v>3221</v>
      </c>
      <c r="N751" t="s">
        <v>2939</v>
      </c>
      <c r="O751" t="s">
        <v>3149</v>
      </c>
    </row>
    <row r="752" spans="1:15" x14ac:dyDescent="0.3">
      <c r="A752" t="s">
        <v>2940</v>
      </c>
      <c r="B752">
        <v>7</v>
      </c>
      <c r="C752" s="1">
        <v>45160</v>
      </c>
      <c r="D752" t="s">
        <v>2941</v>
      </c>
      <c r="E752" t="s">
        <v>2942</v>
      </c>
      <c r="F752" t="s">
        <v>15</v>
      </c>
      <c r="G752" t="s">
        <v>379</v>
      </c>
      <c r="H752">
        <v>88</v>
      </c>
      <c r="I752">
        <v>2020</v>
      </c>
      <c r="J752" t="s">
        <v>36</v>
      </c>
      <c r="K752">
        <v>25994</v>
      </c>
      <c r="L752" s="1">
        <v>44038</v>
      </c>
      <c r="M752" s="1" t="s">
        <v>3165</v>
      </c>
      <c r="N752" t="s">
        <v>2943</v>
      </c>
      <c r="O752" t="s">
        <v>3149</v>
      </c>
    </row>
    <row r="753" spans="1:15" x14ac:dyDescent="0.3">
      <c r="A753" t="s">
        <v>2944</v>
      </c>
      <c r="B753">
        <v>7</v>
      </c>
      <c r="C753" s="1">
        <v>44411</v>
      </c>
      <c r="D753" t="s">
        <v>2945</v>
      </c>
      <c r="E753" t="s">
        <v>2946</v>
      </c>
      <c r="F753" t="s">
        <v>22</v>
      </c>
      <c r="G753" t="s">
        <v>927</v>
      </c>
      <c r="H753">
        <v>339</v>
      </c>
      <c r="I753">
        <v>2020</v>
      </c>
      <c r="J753" t="s">
        <v>42</v>
      </c>
      <c r="K753">
        <v>84423</v>
      </c>
      <c r="L753" s="1">
        <v>43947</v>
      </c>
      <c r="M753" s="1" t="s">
        <v>3176</v>
      </c>
      <c r="N753" t="s">
        <v>3204</v>
      </c>
    </row>
    <row r="754" spans="1:15" x14ac:dyDescent="0.3">
      <c r="A754" t="s">
        <v>2953</v>
      </c>
      <c r="B754">
        <v>8</v>
      </c>
      <c r="C754" s="1">
        <v>44992</v>
      </c>
      <c r="D754" t="s">
        <v>2954</v>
      </c>
      <c r="E754" t="s">
        <v>2955</v>
      </c>
      <c r="F754" t="s">
        <v>15</v>
      </c>
      <c r="G754" t="s">
        <v>158</v>
      </c>
      <c r="H754">
        <v>121</v>
      </c>
      <c r="I754">
        <v>2021</v>
      </c>
      <c r="J754" t="s">
        <v>24</v>
      </c>
      <c r="K754">
        <v>73174</v>
      </c>
      <c r="L754" s="1">
        <v>44441</v>
      </c>
      <c r="M754" s="1" t="s">
        <v>3165</v>
      </c>
      <c r="N754" t="s">
        <v>2956</v>
      </c>
      <c r="O754" t="s">
        <v>3175</v>
      </c>
    </row>
    <row r="755" spans="1:15" x14ac:dyDescent="0.3">
      <c r="A755" t="s">
        <v>2962</v>
      </c>
      <c r="B755">
        <v>6</v>
      </c>
      <c r="C755" s="1">
        <v>44391</v>
      </c>
      <c r="D755" t="s">
        <v>2963</v>
      </c>
      <c r="E755" t="s">
        <v>2964</v>
      </c>
      <c r="F755" t="s">
        <v>15</v>
      </c>
      <c r="G755" t="s">
        <v>346</v>
      </c>
      <c r="H755">
        <v>77</v>
      </c>
      <c r="I755">
        <v>2019</v>
      </c>
      <c r="J755" t="s">
        <v>235</v>
      </c>
      <c r="K755">
        <v>356</v>
      </c>
      <c r="L755" s="1">
        <v>43568</v>
      </c>
      <c r="M755" s="1" t="s">
        <v>3165</v>
      </c>
      <c r="N755" t="s">
        <v>2965</v>
      </c>
      <c r="O755" t="s">
        <v>3149</v>
      </c>
    </row>
    <row r="756" spans="1:15" x14ac:dyDescent="0.3">
      <c r="A756" t="s">
        <v>2969</v>
      </c>
      <c r="B756">
        <v>6</v>
      </c>
      <c r="C756" s="1">
        <v>45170</v>
      </c>
      <c r="D756" t="s">
        <v>2970</v>
      </c>
      <c r="E756" t="s">
        <v>2971</v>
      </c>
      <c r="F756" t="s">
        <v>47</v>
      </c>
      <c r="G756" t="s">
        <v>461</v>
      </c>
      <c r="H756">
        <v>10</v>
      </c>
      <c r="I756">
        <v>2017</v>
      </c>
      <c r="J756" t="s">
        <v>199</v>
      </c>
      <c r="K756">
        <v>6</v>
      </c>
      <c r="L756" s="1">
        <v>42937</v>
      </c>
      <c r="M756" s="1" t="s">
        <v>3154</v>
      </c>
      <c r="N756" t="s">
        <v>1483</v>
      </c>
      <c r="O756" t="s">
        <v>3175</v>
      </c>
    </row>
    <row r="757" spans="1:15" x14ac:dyDescent="0.3">
      <c r="A757" t="s">
        <v>2976</v>
      </c>
      <c r="B757">
        <v>7</v>
      </c>
      <c r="C757" s="1">
        <v>44009</v>
      </c>
      <c r="D757" t="s">
        <v>2977</v>
      </c>
      <c r="E757" t="s">
        <v>2978</v>
      </c>
      <c r="F757" t="s">
        <v>15</v>
      </c>
      <c r="G757" t="s">
        <v>148</v>
      </c>
      <c r="H757">
        <v>115</v>
      </c>
      <c r="I757">
        <v>2019</v>
      </c>
      <c r="J757" t="s">
        <v>546</v>
      </c>
      <c r="K757">
        <v>19034</v>
      </c>
      <c r="L757" s="1">
        <v>43605</v>
      </c>
      <c r="M757" s="1" t="s">
        <v>3155</v>
      </c>
      <c r="N757" t="s">
        <v>2979</v>
      </c>
      <c r="O757" t="s">
        <v>3149</v>
      </c>
    </row>
    <row r="758" spans="1:15" x14ac:dyDescent="0.3">
      <c r="A758" t="s">
        <v>2980</v>
      </c>
      <c r="B758">
        <v>8</v>
      </c>
      <c r="C758" s="1">
        <v>45241</v>
      </c>
      <c r="D758" t="s">
        <v>2981</v>
      </c>
      <c r="E758" t="s">
        <v>2982</v>
      </c>
      <c r="F758" t="s">
        <v>15</v>
      </c>
      <c r="G758" t="s">
        <v>148</v>
      </c>
      <c r="H758">
        <v>106</v>
      </c>
      <c r="I758">
        <v>2023</v>
      </c>
      <c r="J758" t="s">
        <v>1855</v>
      </c>
      <c r="K758">
        <v>20864</v>
      </c>
      <c r="L758" s="1">
        <v>45039</v>
      </c>
      <c r="M758" s="1" t="s">
        <v>3165</v>
      </c>
      <c r="N758" t="s">
        <v>2983</v>
      </c>
      <c r="O758" t="s">
        <v>3175</v>
      </c>
    </row>
    <row r="759" spans="1:15" x14ac:dyDescent="0.3">
      <c r="A759" t="s">
        <v>2987</v>
      </c>
      <c r="B759">
        <v>7</v>
      </c>
      <c r="C759" s="1">
        <v>44639</v>
      </c>
      <c r="D759" t="s">
        <v>2988</v>
      </c>
      <c r="E759" t="s">
        <v>2989</v>
      </c>
      <c r="F759" t="s">
        <v>15</v>
      </c>
      <c r="G759" t="s">
        <v>158</v>
      </c>
      <c r="H759">
        <v>124</v>
      </c>
      <c r="I759">
        <v>2020</v>
      </c>
      <c r="J759" t="s">
        <v>17</v>
      </c>
      <c r="K759">
        <v>60859</v>
      </c>
      <c r="L759" s="1">
        <v>43874</v>
      </c>
      <c r="M759" s="1" t="s">
        <v>3171</v>
      </c>
      <c r="N759" t="s">
        <v>2990</v>
      </c>
      <c r="O759" t="s">
        <v>3175</v>
      </c>
    </row>
    <row r="760" spans="1:15" x14ac:dyDescent="0.3">
      <c r="A760" t="s">
        <v>2994</v>
      </c>
      <c r="B760">
        <v>3</v>
      </c>
      <c r="C760" s="1">
        <v>44422</v>
      </c>
      <c r="D760" t="s">
        <v>2995</v>
      </c>
      <c r="E760" t="s">
        <v>2996</v>
      </c>
      <c r="F760" t="s">
        <v>15</v>
      </c>
      <c r="G760" t="s">
        <v>524</v>
      </c>
      <c r="H760">
        <v>130</v>
      </c>
      <c r="I760">
        <v>2021</v>
      </c>
      <c r="J760" t="s">
        <v>2997</v>
      </c>
      <c r="K760">
        <v>113245</v>
      </c>
      <c r="L760" s="1">
        <v>44406</v>
      </c>
      <c r="M760" s="1" t="s">
        <v>3165</v>
      </c>
      <c r="N760" t="s">
        <v>2998</v>
      </c>
      <c r="O760" t="s">
        <v>3149</v>
      </c>
    </row>
    <row r="761" spans="1:15" x14ac:dyDescent="0.3">
      <c r="A761" t="s">
        <v>3003</v>
      </c>
      <c r="B761">
        <v>9</v>
      </c>
      <c r="C761" s="1">
        <v>43975</v>
      </c>
      <c r="D761" t="s">
        <v>3004</v>
      </c>
      <c r="E761" t="s">
        <v>3005</v>
      </c>
      <c r="F761" t="s">
        <v>47</v>
      </c>
      <c r="G761" t="s">
        <v>16</v>
      </c>
      <c r="H761">
        <v>27</v>
      </c>
      <c r="I761">
        <v>2015</v>
      </c>
      <c r="J761" t="s">
        <v>199</v>
      </c>
      <c r="K761">
        <v>37</v>
      </c>
      <c r="L761" s="1">
        <v>42306</v>
      </c>
      <c r="M761" s="1" t="s">
        <v>3154</v>
      </c>
      <c r="N761" t="s">
        <v>3006</v>
      </c>
    </row>
    <row r="762" spans="1:15" x14ac:dyDescent="0.3">
      <c r="A762" t="s">
        <v>3010</v>
      </c>
      <c r="B762">
        <v>7</v>
      </c>
      <c r="C762" s="1">
        <v>44475</v>
      </c>
      <c r="D762" t="s">
        <v>3011</v>
      </c>
      <c r="E762" t="s">
        <v>3012</v>
      </c>
      <c r="F762" t="s">
        <v>47</v>
      </c>
      <c r="G762" t="s">
        <v>158</v>
      </c>
      <c r="H762">
        <v>15</v>
      </c>
      <c r="I762">
        <v>2019</v>
      </c>
      <c r="J762" t="s">
        <v>597</v>
      </c>
      <c r="K762">
        <v>94</v>
      </c>
      <c r="L762" s="1">
        <v>43748</v>
      </c>
      <c r="M762" s="1" t="s">
        <v>3171</v>
      </c>
      <c r="N762" t="s">
        <v>3013</v>
      </c>
      <c r="O762" t="s">
        <v>3175</v>
      </c>
    </row>
    <row r="763" spans="1:15" x14ac:dyDescent="0.3">
      <c r="A763" t="s">
        <v>3014</v>
      </c>
      <c r="B763">
        <v>7</v>
      </c>
      <c r="C763" s="1">
        <v>45096</v>
      </c>
      <c r="D763" t="s">
        <v>3015</v>
      </c>
      <c r="E763" t="s">
        <v>3016</v>
      </c>
      <c r="F763" t="s">
        <v>15</v>
      </c>
      <c r="G763" t="s">
        <v>116</v>
      </c>
      <c r="H763">
        <v>90</v>
      </c>
      <c r="I763">
        <v>2021</v>
      </c>
      <c r="J763" t="s">
        <v>123</v>
      </c>
      <c r="K763">
        <v>143911</v>
      </c>
      <c r="L763" s="1">
        <v>44450</v>
      </c>
      <c r="M763" s="1" t="s">
        <v>3165</v>
      </c>
      <c r="N763" t="s">
        <v>3017</v>
      </c>
      <c r="O763" t="s">
        <v>3149</v>
      </c>
    </row>
    <row r="764" spans="1:15" x14ac:dyDescent="0.3">
      <c r="A764" t="s">
        <v>3018</v>
      </c>
      <c r="B764">
        <v>7</v>
      </c>
      <c r="C764" s="1">
        <v>43851</v>
      </c>
      <c r="D764" t="s">
        <v>3019</v>
      </c>
      <c r="E764" t="s">
        <v>3020</v>
      </c>
      <c r="F764" t="s">
        <v>15</v>
      </c>
      <c r="G764" t="s">
        <v>16</v>
      </c>
      <c r="H764">
        <v>96</v>
      </c>
      <c r="I764">
        <v>2019</v>
      </c>
      <c r="J764" t="s">
        <v>24</v>
      </c>
      <c r="K764">
        <v>1914</v>
      </c>
      <c r="L764" s="1">
        <v>43607</v>
      </c>
      <c r="M764" s="1" t="s">
        <v>3154</v>
      </c>
      <c r="N764" t="s">
        <v>1650</v>
      </c>
      <c r="O764" t="s">
        <v>3149</v>
      </c>
    </row>
    <row r="765" spans="1:15" x14ac:dyDescent="0.3">
      <c r="A765" t="s">
        <v>3021</v>
      </c>
      <c r="B765">
        <v>6</v>
      </c>
      <c r="C765" s="1">
        <v>44735</v>
      </c>
      <c r="D765" t="s">
        <v>3022</v>
      </c>
      <c r="E765" t="s">
        <v>3023</v>
      </c>
      <c r="F765" t="s">
        <v>47</v>
      </c>
      <c r="G765" t="s">
        <v>73</v>
      </c>
      <c r="H765">
        <v>14</v>
      </c>
      <c r="I765">
        <v>2014</v>
      </c>
      <c r="J765" t="s">
        <v>297</v>
      </c>
      <c r="K765">
        <v>20</v>
      </c>
      <c r="L765" s="1">
        <v>41940</v>
      </c>
      <c r="M765" s="1" t="s">
        <v>3154</v>
      </c>
      <c r="N765" t="s">
        <v>1650</v>
      </c>
      <c r="O765" t="s">
        <v>3149</v>
      </c>
    </row>
    <row r="766" spans="1:15" x14ac:dyDescent="0.3">
      <c r="A766" t="s">
        <v>3029</v>
      </c>
      <c r="B766">
        <v>6</v>
      </c>
      <c r="C766" s="1">
        <v>45016</v>
      </c>
      <c r="D766" t="s">
        <v>3030</v>
      </c>
      <c r="E766" t="s">
        <v>3031</v>
      </c>
      <c r="F766" t="s">
        <v>15</v>
      </c>
      <c r="G766" t="s">
        <v>56</v>
      </c>
      <c r="H766">
        <v>107</v>
      </c>
      <c r="I766">
        <v>2022</v>
      </c>
      <c r="J766" t="s">
        <v>3032</v>
      </c>
      <c r="K766">
        <v>2898</v>
      </c>
      <c r="L766" s="1">
        <v>44702</v>
      </c>
      <c r="M766" s="1" t="s">
        <v>3154</v>
      </c>
      <c r="N766" t="s">
        <v>3033</v>
      </c>
      <c r="O766" t="s">
        <v>3149</v>
      </c>
    </row>
    <row r="767" spans="1:15" x14ac:dyDescent="0.3">
      <c r="A767" t="s">
        <v>3041</v>
      </c>
      <c r="B767">
        <v>7</v>
      </c>
      <c r="C767" s="1">
        <v>45169</v>
      </c>
      <c r="D767" s="3" t="s">
        <v>3042</v>
      </c>
      <c r="E767" t="s">
        <v>3043</v>
      </c>
      <c r="F767" t="s">
        <v>47</v>
      </c>
      <c r="G767" t="s">
        <v>16</v>
      </c>
      <c r="H767">
        <v>7</v>
      </c>
      <c r="I767">
        <v>2016</v>
      </c>
      <c r="J767" t="s">
        <v>199</v>
      </c>
      <c r="K767">
        <v>12</v>
      </c>
      <c r="L767" s="1">
        <v>42571</v>
      </c>
      <c r="M767" s="1" t="s">
        <v>3154</v>
      </c>
      <c r="N767" t="s">
        <v>3044</v>
      </c>
      <c r="O767" t="s">
        <v>3149</v>
      </c>
    </row>
    <row r="768" spans="1:15" x14ac:dyDescent="0.3">
      <c r="A768" t="s">
        <v>3045</v>
      </c>
      <c r="B768">
        <v>7</v>
      </c>
      <c r="C768" s="1">
        <v>44333</v>
      </c>
      <c r="D768" t="s">
        <v>3046</v>
      </c>
      <c r="E768" t="s">
        <v>3047</v>
      </c>
      <c r="F768" t="s">
        <v>15</v>
      </c>
      <c r="G768" t="s">
        <v>148</v>
      </c>
      <c r="H768">
        <v>90</v>
      </c>
      <c r="I768">
        <v>2020</v>
      </c>
      <c r="J768" t="s">
        <v>3048</v>
      </c>
      <c r="K768">
        <v>177646</v>
      </c>
      <c r="L768" s="1">
        <v>43856</v>
      </c>
      <c r="M768" s="1" t="s">
        <v>3165</v>
      </c>
      <c r="N768" t="s">
        <v>3049</v>
      </c>
      <c r="O768" t="s">
        <v>3149</v>
      </c>
    </row>
    <row r="769" spans="1:15" x14ac:dyDescent="0.3">
      <c r="A769" t="s">
        <v>3056</v>
      </c>
      <c r="B769">
        <v>7</v>
      </c>
      <c r="C769" s="1">
        <v>44427</v>
      </c>
      <c r="D769" t="s">
        <v>3057</v>
      </c>
      <c r="E769" t="s">
        <v>3058</v>
      </c>
      <c r="F769" t="s">
        <v>15</v>
      </c>
      <c r="G769" t="s">
        <v>41</v>
      </c>
      <c r="H769">
        <v>90</v>
      </c>
      <c r="I769">
        <v>2021</v>
      </c>
      <c r="J769" t="s">
        <v>96</v>
      </c>
      <c r="K769">
        <v>20</v>
      </c>
      <c r="L769" s="1">
        <v>44426</v>
      </c>
      <c r="M769" s="1" t="s">
        <v>3154</v>
      </c>
      <c r="N769" t="s">
        <v>3059</v>
      </c>
      <c r="O769" t="s">
        <v>3149</v>
      </c>
    </row>
    <row r="770" spans="1:15" x14ac:dyDescent="0.3">
      <c r="A770" t="s">
        <v>3070</v>
      </c>
      <c r="B770">
        <v>6</v>
      </c>
      <c r="C770" s="1">
        <v>44607</v>
      </c>
      <c r="D770" t="s">
        <v>3071</v>
      </c>
      <c r="E770" t="s">
        <v>3072</v>
      </c>
      <c r="F770" t="s">
        <v>15</v>
      </c>
      <c r="G770" t="s">
        <v>56</v>
      </c>
      <c r="H770">
        <v>144</v>
      </c>
      <c r="I770">
        <v>2021</v>
      </c>
      <c r="J770" t="s">
        <v>3073</v>
      </c>
      <c r="K770">
        <v>130928</v>
      </c>
      <c r="L770" s="1">
        <v>44441</v>
      </c>
      <c r="M770" s="1" t="s">
        <v>3165</v>
      </c>
      <c r="N770" t="s">
        <v>3074</v>
      </c>
      <c r="O770" t="s">
        <v>3149</v>
      </c>
    </row>
    <row r="771" spans="1:15" x14ac:dyDescent="0.3">
      <c r="A771" t="s">
        <v>3075</v>
      </c>
      <c r="B771">
        <v>7</v>
      </c>
      <c r="C771" s="1">
        <v>44253</v>
      </c>
      <c r="D771" t="s">
        <v>3076</v>
      </c>
      <c r="E771" t="s">
        <v>3077</v>
      </c>
      <c r="F771" t="s">
        <v>15</v>
      </c>
      <c r="G771" t="s">
        <v>56</v>
      </c>
      <c r="H771">
        <v>113</v>
      </c>
      <c r="I771">
        <v>2020</v>
      </c>
      <c r="J771" t="s">
        <v>409</v>
      </c>
      <c r="K771">
        <v>202570</v>
      </c>
      <c r="L771" s="1">
        <v>43855</v>
      </c>
      <c r="M771" s="1" t="s">
        <v>3165</v>
      </c>
      <c r="N771" t="s">
        <v>1095</v>
      </c>
      <c r="O771" t="s">
        <v>3149</v>
      </c>
    </row>
    <row r="772" spans="1:15" x14ac:dyDescent="0.3">
      <c r="A772" t="s">
        <v>3078</v>
      </c>
      <c r="B772">
        <v>7</v>
      </c>
      <c r="C772" s="1">
        <v>44505</v>
      </c>
      <c r="D772" t="s">
        <v>3079</v>
      </c>
      <c r="E772" t="s">
        <v>3080</v>
      </c>
      <c r="F772" t="s">
        <v>15</v>
      </c>
      <c r="G772" t="s">
        <v>95</v>
      </c>
      <c r="H772">
        <v>116</v>
      </c>
      <c r="I772">
        <v>2021</v>
      </c>
      <c r="J772" t="s">
        <v>2277</v>
      </c>
      <c r="K772">
        <v>169461</v>
      </c>
      <c r="L772" s="1">
        <v>44443</v>
      </c>
      <c r="M772" s="1" t="s">
        <v>3165</v>
      </c>
      <c r="N772" t="s">
        <v>1988</v>
      </c>
      <c r="O772" t="s">
        <v>3149</v>
      </c>
    </row>
    <row r="773" spans="1:15" x14ac:dyDescent="0.3">
      <c r="A773" t="s">
        <v>3102</v>
      </c>
      <c r="B773">
        <v>7</v>
      </c>
      <c r="C773" s="1">
        <v>44450</v>
      </c>
      <c r="D773" t="s">
        <v>3103</v>
      </c>
      <c r="E773" t="s">
        <v>3104</v>
      </c>
      <c r="F773" t="s">
        <v>47</v>
      </c>
      <c r="G773" t="s">
        <v>158</v>
      </c>
      <c r="H773">
        <v>37</v>
      </c>
      <c r="I773">
        <v>2018</v>
      </c>
      <c r="J773" t="s">
        <v>48</v>
      </c>
      <c r="K773">
        <v>8</v>
      </c>
      <c r="L773" s="1">
        <v>43185</v>
      </c>
      <c r="M773" s="1" t="s">
        <v>3154</v>
      </c>
      <c r="N773" t="s">
        <v>3105</v>
      </c>
      <c r="O773" t="s">
        <v>3149</v>
      </c>
    </row>
    <row r="774" spans="1:15" x14ac:dyDescent="0.3">
      <c r="A774" t="s">
        <v>3109</v>
      </c>
      <c r="B774">
        <v>6</v>
      </c>
      <c r="C774" s="1">
        <v>44940</v>
      </c>
      <c r="D774" t="s">
        <v>3110</v>
      </c>
      <c r="E774" t="s">
        <v>3111</v>
      </c>
      <c r="F774" t="s">
        <v>15</v>
      </c>
      <c r="G774" t="s">
        <v>79</v>
      </c>
      <c r="H774">
        <v>107</v>
      </c>
      <c r="I774">
        <v>2022</v>
      </c>
      <c r="J774" t="s">
        <v>932</v>
      </c>
      <c r="K774">
        <v>368432</v>
      </c>
      <c r="L774" s="1">
        <v>44814</v>
      </c>
      <c r="M774" s="1" t="s">
        <v>3165</v>
      </c>
      <c r="N774" t="s">
        <v>3112</v>
      </c>
      <c r="O774" t="s">
        <v>3149</v>
      </c>
    </row>
    <row r="775" spans="1:15" x14ac:dyDescent="0.3">
      <c r="A775" t="s">
        <v>3117</v>
      </c>
      <c r="B775">
        <v>7</v>
      </c>
      <c r="C775" s="1">
        <v>44204</v>
      </c>
      <c r="D775" t="s">
        <v>3118</v>
      </c>
      <c r="E775" t="s">
        <v>3119</v>
      </c>
      <c r="F775" t="s">
        <v>22</v>
      </c>
      <c r="G775" t="s">
        <v>56</v>
      </c>
      <c r="H775">
        <v>347</v>
      </c>
      <c r="I775">
        <v>2020</v>
      </c>
      <c r="J775" t="s">
        <v>1023</v>
      </c>
      <c r="K775">
        <v>40007</v>
      </c>
      <c r="L775" s="1">
        <v>43884</v>
      </c>
      <c r="M775" s="1" t="s">
        <v>3165</v>
      </c>
      <c r="N775" t="s">
        <v>25</v>
      </c>
      <c r="O775" t="s">
        <v>3149</v>
      </c>
    </row>
    <row r="776" spans="1:15" x14ac:dyDescent="0.3">
      <c r="B776">
        <v>7</v>
      </c>
      <c r="C776" s="1">
        <v>45261</v>
      </c>
      <c r="D776" t="s">
        <v>3148</v>
      </c>
      <c r="H776">
        <v>56</v>
      </c>
      <c r="I776">
        <v>1988</v>
      </c>
      <c r="M776" s="1" t="s">
        <v>3169</v>
      </c>
      <c r="N776" t="s">
        <v>3170</v>
      </c>
      <c r="O776" t="s">
        <v>3175</v>
      </c>
    </row>
    <row r="777" spans="1:15" x14ac:dyDescent="0.3">
      <c r="B777">
        <v>6</v>
      </c>
      <c r="C777" s="1">
        <v>45226</v>
      </c>
      <c r="D777" t="s">
        <v>3146</v>
      </c>
      <c r="H777">
        <v>30</v>
      </c>
      <c r="I777">
        <v>2023</v>
      </c>
      <c r="J777" t="s">
        <v>96</v>
      </c>
      <c r="M777" s="1" t="s">
        <v>3155</v>
      </c>
      <c r="N777" t="s">
        <v>3157</v>
      </c>
      <c r="O777" t="s">
        <v>3149</v>
      </c>
    </row>
    <row r="778" spans="1:15" x14ac:dyDescent="0.3">
      <c r="B778">
        <v>7</v>
      </c>
      <c r="C778" s="1">
        <v>45276</v>
      </c>
      <c r="D778" t="s">
        <v>3151</v>
      </c>
      <c r="H778">
        <v>30</v>
      </c>
      <c r="I778">
        <v>1995</v>
      </c>
      <c r="J778" t="s">
        <v>96</v>
      </c>
      <c r="M778" s="1" t="s">
        <v>3154</v>
      </c>
      <c r="N778" t="s">
        <v>3152</v>
      </c>
      <c r="O778" t="s">
        <v>3149</v>
      </c>
    </row>
    <row r="779" spans="1:15" x14ac:dyDescent="0.3">
      <c r="B779">
        <v>4</v>
      </c>
      <c r="C779" s="1">
        <v>45170</v>
      </c>
      <c r="D779" t="s">
        <v>3144</v>
      </c>
      <c r="H779">
        <v>29</v>
      </c>
      <c r="I779">
        <v>2017</v>
      </c>
      <c r="J779" t="s">
        <v>96</v>
      </c>
      <c r="M779" s="1" t="s">
        <v>3154</v>
      </c>
      <c r="N779" t="s">
        <v>3156</v>
      </c>
      <c r="O779" t="s">
        <v>3149</v>
      </c>
    </row>
    <row r="780" spans="1:15" x14ac:dyDescent="0.3">
      <c r="B780">
        <v>7</v>
      </c>
      <c r="C780" s="1">
        <v>45228</v>
      </c>
      <c r="D780" t="s">
        <v>3147</v>
      </c>
      <c r="H780">
        <v>19</v>
      </c>
      <c r="I780">
        <v>2023</v>
      </c>
      <c r="J780" t="s">
        <v>96</v>
      </c>
      <c r="M780" s="1" t="s">
        <v>3159</v>
      </c>
      <c r="N780" t="s">
        <v>3158</v>
      </c>
      <c r="O780" t="s">
        <v>3175</v>
      </c>
    </row>
    <row r="781" spans="1:15" x14ac:dyDescent="0.3">
      <c r="B781">
        <v>7</v>
      </c>
      <c r="C781" s="1">
        <v>45226</v>
      </c>
      <c r="D781" t="s">
        <v>3145</v>
      </c>
      <c r="H781">
        <v>17</v>
      </c>
      <c r="I781">
        <v>2023</v>
      </c>
      <c r="J781" t="s">
        <v>3162</v>
      </c>
      <c r="M781" s="1" t="s">
        <v>3161</v>
      </c>
      <c r="N781" t="s">
        <v>3160</v>
      </c>
      <c r="O781" t="s">
        <v>3175</v>
      </c>
    </row>
    <row r="782" spans="1:15" x14ac:dyDescent="0.3">
      <c r="B782">
        <v>7</v>
      </c>
      <c r="C782" s="1">
        <v>45228</v>
      </c>
      <c r="D782" t="s">
        <v>3167</v>
      </c>
      <c r="H782">
        <v>14</v>
      </c>
      <c r="I782">
        <v>2023</v>
      </c>
      <c r="J782" t="s">
        <v>96</v>
      </c>
      <c r="M782" s="1" t="s">
        <v>3165</v>
      </c>
      <c r="N782" t="s">
        <v>3168</v>
      </c>
      <c r="O782" t="s">
        <v>3175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E81E443-6CBF-4559-8E78-D829B4C206E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imdb_ratings</vt:lpstr>
      <vt:lpstr>Аркуш1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Анастасія Сухобок</dc:creator>
  <cp:lastModifiedBy>Анастасія Сухобок</cp:lastModifiedBy>
  <dcterms:created xsi:type="dcterms:W3CDTF">2024-01-01T11:45:29Z</dcterms:created>
  <dcterms:modified xsi:type="dcterms:W3CDTF">2025-10-02T19:39:38Z</dcterms:modified>
</cp:coreProperties>
</file>